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yectos\Metrica\docs\backlog\"/>
    </mc:Choice>
  </mc:AlternateContent>
  <xr:revisionPtr revIDLastSave="0" documentId="13_ncr:1_{7CFFA02B-9D75-42DE-A948-E08A19BC8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Backlog" sheetId="2" r:id="rId2"/>
    <sheet name="Sprints" sheetId="3" r:id="rId3"/>
    <sheet name="Roadmap" sheetId="4" r:id="rId4"/>
    <sheet name="RACI" sheetId="5" r:id="rId5"/>
    <sheet name="Documentos" sheetId="6" r:id="rId6"/>
    <sheet name="Riesgos" sheetId="7" r:id="rId7"/>
  </sheets>
  <definedNames>
    <definedName name="_xlnm._FilterDatabase" localSheetId="1" hidden="1">Backlog!$A$4:$L$105</definedName>
    <definedName name="_xlnm._FilterDatabase" localSheetId="5" hidden="1">Documentos!$A$4:$F$24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F15" i="7" s="1"/>
  <c r="E14" i="7"/>
  <c r="F14" i="7" s="1"/>
  <c r="E13" i="7"/>
  <c r="F13" i="7" s="1"/>
  <c r="E12" i="7"/>
  <c r="F12" i="7" s="1"/>
  <c r="E11" i="7"/>
  <c r="F11" i="7" s="1"/>
  <c r="E10" i="7"/>
  <c r="F10" i="7" s="1"/>
  <c r="E9" i="7"/>
  <c r="F9" i="7" s="1"/>
  <c r="E8" i="7"/>
  <c r="F8" i="7" s="1"/>
  <c r="E7" i="7"/>
  <c r="F7" i="7" s="1"/>
  <c r="E6" i="7"/>
  <c r="F6" i="7" s="1"/>
  <c r="F5" i="7"/>
  <c r="E5" i="7"/>
  <c r="B34" i="4"/>
  <c r="A34" i="4"/>
  <c r="B33" i="4"/>
  <c r="A33" i="4"/>
  <c r="B32" i="4"/>
  <c r="A32" i="4"/>
  <c r="B31" i="4"/>
  <c r="A31" i="4"/>
  <c r="B30" i="4"/>
  <c r="A30" i="4"/>
  <c r="B29" i="4"/>
  <c r="A29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R23" i="4"/>
  <c r="Q23" i="4"/>
  <c r="P23" i="4"/>
  <c r="O23" i="4"/>
  <c r="O25" i="4" s="1"/>
  <c r="N23" i="4"/>
  <c r="N25" i="4" s="1"/>
  <c r="M23" i="4"/>
  <c r="M25" i="4" s="1"/>
  <c r="L23" i="4"/>
  <c r="K23" i="4"/>
  <c r="J23" i="4"/>
  <c r="I23" i="4"/>
  <c r="H23" i="4"/>
  <c r="G23" i="4"/>
  <c r="F23" i="4"/>
  <c r="F25" i="4" s="1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R7" i="4"/>
  <c r="Q7" i="4"/>
  <c r="P7" i="4"/>
  <c r="O7" i="4"/>
  <c r="N7" i="4"/>
  <c r="M7" i="4"/>
  <c r="L7" i="4"/>
  <c r="K7" i="4"/>
  <c r="J7" i="4"/>
  <c r="I7" i="4"/>
  <c r="H7" i="4"/>
  <c r="G7" i="4"/>
  <c r="F7" i="4"/>
  <c r="R6" i="4"/>
  <c r="Q6" i="4"/>
  <c r="P6" i="4"/>
  <c r="O6" i="4"/>
  <c r="N6" i="4"/>
  <c r="M6" i="4"/>
  <c r="L6" i="4"/>
  <c r="K6" i="4"/>
  <c r="J6" i="4"/>
  <c r="I6" i="4"/>
  <c r="H6" i="4"/>
  <c r="G6" i="4"/>
  <c r="F6" i="4"/>
  <c r="R5" i="4"/>
  <c r="P5" i="4"/>
  <c r="N5" i="4"/>
  <c r="L5" i="4"/>
  <c r="H5" i="4"/>
  <c r="F5" i="4"/>
  <c r="F18" i="3"/>
  <c r="G17" i="3"/>
  <c r="H17" i="3" s="1"/>
  <c r="D17" i="3"/>
  <c r="E34" i="4" s="1"/>
  <c r="C17" i="3"/>
  <c r="G16" i="3"/>
  <c r="H16" i="3" s="1"/>
  <c r="C16" i="3"/>
  <c r="Q5" i="4" s="1"/>
  <c r="G15" i="3"/>
  <c r="H15" i="3" s="1"/>
  <c r="C15" i="3"/>
  <c r="D15" i="3" s="1"/>
  <c r="E33" i="4" s="1"/>
  <c r="G14" i="3"/>
  <c r="H14" i="3" s="1"/>
  <c r="C14" i="3"/>
  <c r="D14" i="3" s="1"/>
  <c r="G13" i="3"/>
  <c r="H13" i="3" s="1"/>
  <c r="D13" i="3"/>
  <c r="E32" i="4" s="1"/>
  <c r="C13" i="3"/>
  <c r="G12" i="3"/>
  <c r="H12" i="3" s="1"/>
  <c r="C12" i="3"/>
  <c r="M5" i="4" s="1"/>
  <c r="G11" i="3"/>
  <c r="H11" i="3" s="1"/>
  <c r="C11" i="3"/>
  <c r="D11" i="3" s="1"/>
  <c r="G10" i="3"/>
  <c r="H10" i="3" s="1"/>
  <c r="C10" i="3"/>
  <c r="D10" i="3" s="1"/>
  <c r="G9" i="3"/>
  <c r="H9" i="3" s="1"/>
  <c r="C9" i="3"/>
  <c r="J5" i="4" s="1"/>
  <c r="G8" i="3"/>
  <c r="H8" i="3" s="1"/>
  <c r="C8" i="3"/>
  <c r="D8" i="3" s="1"/>
  <c r="G7" i="3"/>
  <c r="H7" i="3" s="1"/>
  <c r="C7" i="3"/>
  <c r="D7" i="3" s="1"/>
  <c r="G6" i="3"/>
  <c r="C6" i="3"/>
  <c r="D6" i="3" s="1"/>
  <c r="E30" i="4" s="1"/>
  <c r="G5" i="3"/>
  <c r="H5" i="3" s="1"/>
  <c r="C5" i="3"/>
  <c r="D5" i="3" s="1"/>
  <c r="E29" i="4" s="1"/>
  <c r="C32" i="1"/>
  <c r="C13" i="1"/>
  <c r="C12" i="1"/>
  <c r="C10" i="1"/>
  <c r="C9" i="1"/>
  <c r="C7" i="1"/>
  <c r="R25" i="4" l="1"/>
  <c r="D9" i="3"/>
  <c r="E31" i="4" s="1"/>
  <c r="G25" i="4"/>
  <c r="H25" i="4"/>
  <c r="I25" i="4"/>
  <c r="J25" i="4"/>
  <c r="K25" i="4"/>
  <c r="L25" i="4"/>
  <c r="G18" i="3"/>
  <c r="P25" i="4"/>
  <c r="C11" i="1"/>
  <c r="Q25" i="4"/>
  <c r="H18" i="3"/>
  <c r="G5" i="4"/>
  <c r="H6" i="3"/>
  <c r="I5" i="4"/>
  <c r="K5" i="4"/>
  <c r="D12" i="3"/>
  <c r="D16" i="3"/>
  <c r="O5" i="4"/>
  <c r="C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Líder Técnico</author>
  </authors>
  <commentList>
    <comment ref="G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SP en escala Fibonacci (1, 2, 3, 5, 8, 13, 21). Vacío = tarea sin SP del equipo de desarrollo (UX/UI, documento o área de soporte).</t>
        </r>
      </text>
    </comment>
  </commentList>
</comments>
</file>

<file path=xl/sharedStrings.xml><?xml version="1.0" encoding="utf-8"?>
<sst xmlns="http://schemas.openxmlformats.org/spreadsheetml/2006/main" count="1595" uniqueCount="626">
  <si>
    <t>Plataforma de Eventos Online · Backlog y Roadmap v1.0</t>
  </si>
  <si>
    <t>Reto Técnico Líder Técnico · Scrum con sprints de 2 semanas · primera versión en 6 meses</t>
  </si>
  <si>
    <t>Parámetros y totales</t>
  </si>
  <si>
    <t>Fecha de inicio del proyecto (lunes)</t>
  </si>
  <si>
    <t>Supuesto: inicio el lunes 5-oct-2026. Cambiarla recalcula todas las fechas de sprints, hitos y roadmap.</t>
  </si>
  <si>
    <t>Duración del sprint (días calendario)</t>
  </si>
  <si>
    <t>Requisito del reto: sprints de 2 semanas.</t>
  </si>
  <si>
    <t>Número de sprints</t>
  </si>
  <si>
    <t>S0 (inception) a S12 (go-live) = 26 semanas.</t>
  </si>
  <si>
    <t>Fin del último sprint (go-live v1.0)</t>
  </si>
  <si>
    <t>Capacidad total planificada (SP)</t>
  </si>
  <si>
    <t>SP planificados para la v1.0</t>
  </si>
  <si>
    <t>Utilización global</t>
  </si>
  <si>
    <t>Objetivo: 85–95 % para absorber imprevistos.</t>
  </si>
  <si>
    <t>Ítems del backlog</t>
  </si>
  <si>
    <t>SP estimados post v1.0 (fuera del plan)</t>
  </si>
  <si>
    <t>Supuestos</t>
  </si>
  <si>
    <t>• Velocidad de referencia: 5 desarrolladores × ~8 SP por sprint ≈ 40 SP. Se reduce en S0 (arranque), S5–S6 (feriados de fin de año) y S11–S12 (estabilización y go-live).</t>
  </si>
  <si>
    <t>• Los SP estiman el trabajo del equipo de desarrollo y QA. Las tareas de UX/UI, los documentos y las tareas de las áreas de soporte figuran sin SP (no consumen esa velocidad), pero tienen responsable y sprint.</t>
  </si>
  <si>
    <t>• Las cifras de capacidad son supuestos iniciales: se recalibran con la velocidad real a partir del Sprint 2.</t>
  </si>
  <si>
    <t>• Las columnas Inicio/Fin del Roadmap usan MINIFS y MAXIFS (Excel 2019, Microsoft 365, LibreOffice 5.2+ o Google Sheets).</t>
  </si>
  <si>
    <t>Equipo</t>
  </si>
  <si>
    <t>Rol</t>
  </si>
  <si>
    <t>Personas</t>
  </si>
  <si>
    <t>Aporta SP / responsabilidad</t>
  </si>
  <si>
    <t>Product Owner</t>
  </si>
  <si>
    <t>No · Visión, priorización, aceptación, UAT</t>
  </si>
  <si>
    <t>Scrum Master</t>
  </si>
  <si>
    <t>No · Facilitación, impedimentos, dependencias con áreas de soporte</t>
  </si>
  <si>
    <t>Líder Técnico</t>
  </si>
  <si>
    <t>Parcial · Arquitectura, estándares, revisiones, riesgos técnicos (~30 % hands-on)</t>
  </si>
  <si>
    <t>Backend</t>
  </si>
  <si>
    <t>Sí · Microservicios .NET, mensajería, persistencia</t>
  </si>
  <si>
    <t>Frontend</t>
  </si>
  <si>
    <t>Sí · Web cliente, backoffice, PWA de staff</t>
  </si>
  <si>
    <t>FullStack</t>
  </si>
  <si>
    <t>Sí · Funcionalidades de punta a punta, CI/CD, IaC de servicios, integraciones</t>
  </si>
  <si>
    <t>QA</t>
  </si>
  <si>
    <t>Sí · Automatización, regresión, carga, soporte en UAT</t>
  </si>
  <si>
    <t>UX</t>
  </si>
  <si>
    <t>No · Investigación, journeys, prototipos</t>
  </si>
  <si>
    <t>UI</t>
  </si>
  <si>
    <t>No · Design system, diseño visual</t>
  </si>
  <si>
    <t>Total</t>
  </si>
  <si>
    <t>Áreas de soporte: Arquitectura, Base de Datos, Seguridad, Plataforma</t>
  </si>
  <si>
    <t>Leyenda</t>
  </si>
  <si>
    <t>Texto azul</t>
  </si>
  <si>
    <t>Valores editables que alimentan cálculos (fecha de inicio, SP, sprint, capacidad)</t>
  </si>
  <si>
    <t>Relleno amarillo</t>
  </si>
  <si>
    <t>Parámetros clave del plan</t>
  </si>
  <si>
    <t>Texto negro</t>
  </si>
  <si>
    <t>Fórmulas: no editar</t>
  </si>
  <si>
    <t>Hojas</t>
  </si>
  <si>
    <t>Backlog</t>
  </si>
  <si>
    <t>Épicas, historias, tareas técnicas, spikes, documentos y tareas de las áreas de soporte, con SP, sprint y responsable</t>
  </si>
  <si>
    <t>Sprints</t>
  </si>
  <si>
    <t>Calendario, objetivo, capacidad, carga planificada e hitos por sprint</t>
  </si>
  <si>
    <t>Roadmap</t>
  </si>
  <si>
    <t>Gantt por épica, fases, hitos y carga vs. capacidad</t>
  </si>
  <si>
    <t>RACI</t>
  </si>
  <si>
    <t>Responsabilidades del equipo y de las áreas de soporte</t>
  </si>
  <si>
    <t>Documentos</t>
  </si>
  <si>
    <t>Documentación técnica y funcional: responsable, aprobador y momento</t>
  </si>
  <si>
    <t>Riesgos</t>
  </si>
  <si>
    <t>Registro de riesgos con severidad y mitigación</t>
  </si>
  <si>
    <t>Backlog de producto · v1.0</t>
  </si>
  <si>
    <t>Tipos: Historia · Técnica · Spike · UX/UI · Documento · Soporte (tarea de un área de soporte de TI). Filtrar con los encabezados.</t>
  </si>
  <si>
    <t>ID</t>
  </si>
  <si>
    <t>Épica</t>
  </si>
  <si>
    <t>Nombre de la épica</t>
  </si>
  <si>
    <t>Ítem</t>
  </si>
  <si>
    <t>Tipo</t>
  </si>
  <si>
    <t>Prioridad</t>
  </si>
  <si>
    <t>SP</t>
  </si>
  <si>
    <t>Sprint</t>
  </si>
  <si>
    <t>Responsable</t>
  </si>
  <si>
    <t>Área de soporte</t>
  </si>
  <si>
    <t>Criterio de aceptación / entregable</t>
  </si>
  <si>
    <t>Estado</t>
  </si>
  <si>
    <t>BL-001</t>
  </si>
  <si>
    <t>EP01</t>
  </si>
  <si>
    <t>Inception y gobierno</t>
  </si>
  <si>
    <t>Visión del producto, objetivos y KPI</t>
  </si>
  <si>
    <t>Documento</t>
  </si>
  <si>
    <t>Must</t>
  </si>
  <si>
    <t>PO</t>
  </si>
  <si>
    <t>—</t>
  </si>
  <si>
    <t>Visión y KPI aprobados por el sponsor</t>
  </si>
  <si>
    <t>Pendiente</t>
  </si>
  <si>
    <t>BL-002</t>
  </si>
  <si>
    <t>Story mapping y plan de releases (MoSCoW)</t>
  </si>
  <si>
    <t>PO · LT · SM</t>
  </si>
  <si>
    <t>Mapa de historias priorizado y releases definidos</t>
  </si>
  <si>
    <t>BL-003</t>
  </si>
  <si>
    <t>Investigación UX: entrevistas a clientes, promotores y staff; journeys</t>
  </si>
  <si>
    <t>UX/UI</t>
  </si>
  <si>
    <t>Journeys y hallazgos compartidos con el equipo</t>
  </si>
  <si>
    <t>BL-004</t>
  </si>
  <si>
    <t>Documento de arquitectura (SAD, C4) y ADR iniciales</t>
  </si>
  <si>
    <t>LT</t>
  </si>
  <si>
    <t>Arquitectura</t>
  </si>
  <si>
    <t>SAD aprobado por el área de Arquitectura (hito H1)</t>
  </si>
  <si>
    <t>BL-005</t>
  </si>
  <si>
    <t>Modelo de amenazas inicial (STRIDE) y requisitos de seguridad</t>
  </si>
  <si>
    <t>Seguridad</t>
  </si>
  <si>
    <t>Amenazas priorizadas con controles, validado por Seguridad</t>
  </si>
  <si>
    <t>BL-006</t>
  </si>
  <si>
    <t>Spike: estrategia anti-sobreventa bajo carga (UPDATE condicional vs. sharding)</t>
  </si>
  <si>
    <t>Spike</t>
  </si>
  <si>
    <t>BD</t>
  </si>
  <si>
    <t>Informe con resultados de carga y recomendación (ADR-007)</t>
  </si>
  <si>
    <t>BL-007</t>
  </si>
  <si>
    <t>Spike: evaluación de PSP (sandbox, webhooks, reembolsos, certificación)</t>
  </si>
  <si>
    <t>PSP recomendado con tiempos de certificación</t>
  </si>
  <si>
    <t>BL-008</t>
  </si>
  <si>
    <t>EP02</t>
  </si>
  <si>
    <t>Plataforma, CI/CD y observabilidad</t>
  </si>
  <si>
    <t>Landing zone: cuentas AWS por entorno, VPC y conectividad</t>
  </si>
  <si>
    <t>Soporte</t>
  </si>
  <si>
    <t>Plataforma</t>
  </si>
  <si>
    <t>Plataforma · Seguridad</t>
  </si>
  <si>
    <t>Cuentas DEV/QA/STG/PROD operativas con accesos del equipo</t>
  </si>
  <si>
    <t>BL-009</t>
  </si>
  <si>
    <t>Plantilla de microservicio .NET (arquitectura limpia, outbox, OpenTelemetry, health checks)</t>
  </si>
  <si>
    <t>Técnica</t>
  </si>
  <si>
    <t>LT · Backend</t>
  </si>
  <si>
    <t>Plantilla en repositorio con pruebas y README</t>
  </si>
  <si>
    <t>BL-010</t>
  </si>
  <si>
    <t>Plantilla frontend (React + TypeScript + Tailwind, lint y pruebas)</t>
  </si>
  <si>
    <t>Proyecto base con CI en verde</t>
  </si>
  <si>
    <t>BL-011</t>
  </si>
  <si>
    <t>Pipeline CI base (build, pruebas, Sonar, SCA, secret scanning)</t>
  </si>
  <si>
    <t>El pipeline bloquea PR con quality gate fallido</t>
  </si>
  <si>
    <t>BL-012</t>
  </si>
  <si>
    <t>Modelo de datos conceptual y lineamientos de base de datos</t>
  </si>
  <si>
    <t>Modelo revisado por el área de BD</t>
  </si>
  <si>
    <t>BL-013</t>
  </si>
  <si>
    <t>Design system (tokens, componentes, guía visual)</t>
  </si>
  <si>
    <t>Design system publicado</t>
  </si>
  <si>
    <t>BL-014</t>
  </si>
  <si>
    <t>Prototipos de alta fidelidad: backoffice de eventos</t>
  </si>
  <si>
    <t>UX · UI</t>
  </si>
  <si>
    <t>Prototipo validado por el PO</t>
  </si>
  <si>
    <t>BL-015</t>
  </si>
  <si>
    <t>Módulos Terraform base (VPC, ECS, Aurora, SNS/SQS, ECR)</t>
  </si>
  <si>
    <t>Módulos versionados y aprobados</t>
  </si>
  <si>
    <t>BL-016</t>
  </si>
  <si>
    <t>Reglas de firewall, security groups y WAF base</t>
  </si>
  <si>
    <t>Seguridad · Plataforma</t>
  </si>
  <si>
    <t>Políticas aplicadas en DEV y QA</t>
  </si>
  <si>
    <t>BL-017</t>
  </si>
  <si>
    <t>Terraform de servicios (task definitions, colas, tablas) sobre módulos base</t>
  </si>
  <si>
    <t>Recursos de servicio creados por pipeline</t>
  </si>
  <si>
    <t>BL-018</t>
  </si>
  <si>
    <t>CD a DEV y QA (build once, deploy many)</t>
  </si>
  <si>
    <t>Un merge a main despliega en DEV y promueve a QA</t>
  </si>
  <si>
    <t>BL-019</t>
  </si>
  <si>
    <t>Walking skeleton: event-service → SNS/SQS → notification-service con outbox e inbox</t>
  </si>
  <si>
    <t>Flujo asíncrono funcionando en QA (hito H2)</t>
  </si>
  <si>
    <t>BL-020</t>
  </si>
  <si>
    <t>Observabilidad base: OpenTelemetry, logs JSON, dashboards y alarmas iniciales</t>
  </si>
  <si>
    <t>Traza de punta a punta visible</t>
  </si>
  <si>
    <t>BL-021</t>
  </si>
  <si>
    <t>EP04</t>
  </si>
  <si>
    <t>Gestión de eventos</t>
  </si>
  <si>
    <t>Shell del backoffice (layout, ruteo, manejo de errores, cliente HTTP)</t>
  </si>
  <si>
    <t>Shell desplegado en QA</t>
  </si>
  <si>
    <t>BL-022</t>
  </si>
  <si>
    <t>Componentes base del design system en React</t>
  </si>
  <si>
    <t>Componentes documentados</t>
  </si>
  <si>
    <t>BL-023</t>
  </si>
  <si>
    <t>EP13</t>
  </si>
  <si>
    <t>Calidad, seguridad y rendimiento</t>
  </si>
  <si>
    <t>Estrategia y plan de pruebas; framework de automatización de API</t>
  </si>
  <si>
    <t>Plan aprobado y primera suite en el pipeline</t>
  </si>
  <si>
    <t>BL-024</t>
  </si>
  <si>
    <t>Prototipos de alta fidelidad: sitio público y checkout</t>
  </si>
  <si>
    <t>Prototipo validado con usuarios</t>
  </si>
  <si>
    <t>BL-025</t>
  </si>
  <si>
    <t>EP03</t>
  </si>
  <si>
    <t>Identidad y accesos</t>
  </si>
  <si>
    <t>Configurar Cognito: user pools, grupos (Cliente, Promotor, Admin, Staff) y app clients</t>
  </si>
  <si>
    <t>Login OIDC funcionando en DEV y QA</t>
  </si>
  <si>
    <t>BL-026</t>
  </si>
  <si>
    <t>Registro e inicio de sesión del cliente (Authorization Code + PKCE)</t>
  </si>
  <si>
    <t>Historia</t>
  </si>
  <si>
    <t>El cliente se registra, verifica su email e inicia sesión</t>
  </si>
  <si>
    <t>BL-027</t>
  </si>
  <si>
    <t>Inicio de sesión del backoffice y menú por rol</t>
  </si>
  <si>
    <t>Cada rol ve solo sus opciones</t>
  </si>
  <si>
    <t>BL-028</t>
  </si>
  <si>
    <t>Autorización por rol y por recurso (anti-IDOR) en las APIs</t>
  </si>
  <si>
    <t>Pruebas de acceso cruzado devuelven 403/404</t>
  </si>
  <si>
    <t>BL-029</t>
  </si>
  <si>
    <t>user-service: perfil, preferencias y consentimientos</t>
  </si>
  <si>
    <t>El cliente gestiona su perfil y consentimientos</t>
  </si>
  <si>
    <t>BL-030</t>
  </si>
  <si>
    <t>Alta de promotores y aprobación por el administrador</t>
  </si>
  <si>
    <t>Un promotor aprobado puede crear eventos</t>
  </si>
  <si>
    <t>BL-031</t>
  </si>
  <si>
    <t>Client Credentials entre servicios (scopes)</t>
  </si>
  <si>
    <t>Should</t>
  </si>
  <si>
    <t>Llamadas internas con token de servicio</t>
  </si>
  <si>
    <t>BL-032</t>
  </si>
  <si>
    <t>Pruebas automatizadas de autenticación y autorización</t>
  </si>
  <si>
    <t>Suite de roles e IDOR en la regresión</t>
  </si>
  <si>
    <t>BL-033</t>
  </si>
  <si>
    <t>Crear y editar evento en borrador con zonas, precios y aforos (API)</t>
  </si>
  <si>
    <t>Evento y zonas persistidos con validaciones</t>
  </si>
  <si>
    <t>BL-034</t>
  </si>
  <si>
    <t>Backoffice: formulario de evento y zonas</t>
  </si>
  <si>
    <t>El promotor crea y edita eventos con validación</t>
  </si>
  <si>
    <t>BL-035</t>
  </si>
  <si>
    <t>Listado de eventos del promotor (solo propios) con filtros</t>
  </si>
  <si>
    <t>El promotor no ve eventos de otros</t>
  </si>
  <si>
    <t>BL-036</t>
  </si>
  <si>
    <t>Reglas de venta: fechas de preventa y venta, límite por usuario</t>
  </si>
  <si>
    <t>Reglas validadas en la API</t>
  </si>
  <si>
    <t>BL-037</t>
  </si>
  <si>
    <t>Catálogos: categorías, recintos y ciudades</t>
  </si>
  <si>
    <t>El admin gestiona los catálogos</t>
  </si>
  <si>
    <t>BL-038</t>
  </si>
  <si>
    <t>Imágenes del evento en S3 (URL prefirmada) + CloudFront</t>
  </si>
  <si>
    <t>Imagen visible vía CDN</t>
  </si>
  <si>
    <t>BL-039</t>
  </si>
  <si>
    <t>Pruebas automatizadas de la API de gestión de eventos</t>
  </si>
  <si>
    <t>Suite en la regresión</t>
  </si>
  <si>
    <t>BL-040</t>
  </si>
  <si>
    <t>Publicar y cancelar evento con eventos de integración (outbox)</t>
  </si>
  <si>
    <t>EventPublished / EventCancelled en el bus</t>
  </si>
  <si>
    <t>BL-041</t>
  </si>
  <si>
    <t>EP05</t>
  </si>
  <si>
    <t>Búsqueda y catálogo público</t>
  </si>
  <si>
    <t>search-service: proyección de eventos a OpenSearch</t>
  </si>
  <si>
    <t>Índice actualizado en menos de 5 s</t>
  </si>
  <si>
    <t>BL-042</t>
  </si>
  <si>
    <t>API de búsqueda: texto, filtros, paginación y caché</t>
  </si>
  <si>
    <t>p95 &lt; 300 ms en QA</t>
  </si>
  <si>
    <t>BL-043</t>
  </si>
  <si>
    <t>Sitio público: home y resultados de búsqueda</t>
  </si>
  <si>
    <t>El cliente busca y filtra eventos</t>
  </si>
  <si>
    <t>BL-044</t>
  </si>
  <si>
    <t>Página de detalle del evento (zonas, precios, disponibilidad)</t>
  </si>
  <si>
    <t>Detalle con disponibilidad aproximada</t>
  </si>
  <si>
    <t>BL-045</t>
  </si>
  <si>
    <t>EP10</t>
  </si>
  <si>
    <t>Notificaciones</t>
  </si>
  <si>
    <t>Notificación por email al publicar (plantillas, Amazon SES)</t>
  </si>
  <si>
    <t>Correo enviado desde dominio verificado</t>
  </si>
  <si>
    <t>BL-046</t>
  </si>
  <si>
    <t>EP06</t>
  </si>
  <si>
    <t>Inventario y reservas</t>
  </si>
  <si>
    <t>inventory-service: stock por zona con UPDATE condicional (0 sobreventa)</t>
  </si>
  <si>
    <t>Prueba concurrente sin sobreventa</t>
  </si>
  <si>
    <t>BL-047</t>
  </si>
  <si>
    <t>Holds con expiración y liberación automática</t>
  </si>
  <si>
    <t>Stock devuelto al expirar el hold</t>
  </si>
  <si>
    <t>BL-048</t>
  </si>
  <si>
    <t>Sala de espera virtual para preventas</t>
  </si>
  <si>
    <t>Admisión controlada por evento</t>
  </si>
  <si>
    <t>BL-049</t>
  </si>
  <si>
    <t>UI de selección de zona y cantidad</t>
  </si>
  <si>
    <t>El cliente reserva y ve el tiempo restante</t>
  </si>
  <si>
    <t>BL-050</t>
  </si>
  <si>
    <t>Prueba de concurrencia del inventario (k6)</t>
  </si>
  <si>
    <t>Informe con reservas/s y 0 sobreventas</t>
  </si>
  <si>
    <t>BL-051</t>
  </si>
  <si>
    <t>EP07</t>
  </si>
  <si>
    <t>Órdenes y checkout</t>
  </si>
  <si>
    <t>order-service con saga orquestada (state machine de MassTransit)</t>
  </si>
  <si>
    <t>Saga con estados y timeouts probados</t>
  </si>
  <si>
    <t>BL-052</t>
  </si>
  <si>
    <t>EP08</t>
  </si>
  <si>
    <t>Pagos</t>
  </si>
  <si>
    <t>payment-service: integración PSP sandbox, tokenización e Idempotency-Key</t>
  </si>
  <si>
    <t>Pago aprobado en sandbox sin datos de tarjeta en la plataforma</t>
  </si>
  <si>
    <t>BL-053</t>
  </si>
  <si>
    <t>Webhooks del PSP (Lambda → SQS) con verificación de firma</t>
  </si>
  <si>
    <t>Webhooks idempotentes y firmados</t>
  </si>
  <si>
    <t>BL-054</t>
  </si>
  <si>
    <t>UI de checkout con campos alojados del PSP</t>
  </si>
  <si>
    <t>El cliente paga en sandbox</t>
  </si>
  <si>
    <t>BL-055</t>
  </si>
  <si>
    <t>Revisión de seguridad del flujo de pagos (PCI, secretos, red)</t>
  </si>
  <si>
    <t>Aprobación de Seguridad registrada</t>
  </si>
  <si>
    <t>BL-056</t>
  </si>
  <si>
    <t>Compensaciones: liberar stock por rechazo o timeout; reembolso si el hold expiró</t>
  </si>
  <si>
    <t>Escenarios de compensación automatizados</t>
  </si>
  <si>
    <t>BL-057</t>
  </si>
  <si>
    <t>Reembolsos totales y parciales</t>
  </si>
  <si>
    <t>Reembolso reflejado en el PSP y en la orden</t>
  </si>
  <si>
    <t>BL-058</t>
  </si>
  <si>
    <t>Conciliación diaria con el PSP</t>
  </si>
  <si>
    <t>Reporte diario de diferencias</t>
  </si>
  <si>
    <t>BL-059</t>
  </si>
  <si>
    <t>EP09</t>
  </si>
  <si>
    <t>Tickets</t>
  </si>
  <si>
    <t>ticket-service: emisión de tickets con QR firmado (Ed25519)</t>
  </si>
  <si>
    <t>QR verificable con la clave pública</t>
  </si>
  <si>
    <t>BL-060</t>
  </si>
  <si>
    <t>PDF del ticket (Lambda + S3)</t>
  </si>
  <si>
    <t>PDF descargable</t>
  </si>
  <si>
    <t>BL-061</t>
  </si>
  <si>
    <t>UI Mis órdenes y Mis tickets con descarga</t>
  </si>
  <si>
    <t>El cliente ve solo sus tickets</t>
  </si>
  <si>
    <t>BL-062</t>
  </si>
  <si>
    <t>UI de confirmación y estados de la orden</t>
  </si>
  <si>
    <t>Estados claros, incluidos los fallos de pago</t>
  </si>
  <si>
    <t>BL-063</t>
  </si>
  <si>
    <t>Notificaciones SMS, WhatsApp y push</t>
  </si>
  <si>
    <t>Envíos trazados por canal</t>
  </si>
  <si>
    <t>BL-064</t>
  </si>
  <si>
    <t>Plantillas por evento de negocio y reenvío de tickets</t>
  </si>
  <si>
    <t>El cliente recibe sus tickets y puede pedir el reenvío</t>
  </si>
  <si>
    <t>BL-065</t>
  </si>
  <si>
    <t>Preferencias de notificación y opt-out</t>
  </si>
  <si>
    <t>El opt-out se respeta en todos los canales</t>
  </si>
  <si>
    <t>BL-066</t>
  </si>
  <si>
    <t>Integración antifraude (scoring previo al pago)</t>
  </si>
  <si>
    <t>Transacciones de alto riesgo bloqueadas o en revisión</t>
  </si>
  <si>
    <t>BL-067</t>
  </si>
  <si>
    <t>Pruebas E2E automatizadas del flujo de compra</t>
  </si>
  <si>
    <t>E2E en verde en QA (hito H4)</t>
  </si>
  <si>
    <t>BL-068</t>
  </si>
  <si>
    <t>Tickets en Apple / Google Wallet</t>
  </si>
  <si>
    <t>Could</t>
  </si>
  <si>
    <t>Ticket agregado al wallet</t>
  </si>
  <si>
    <t>BL-069</t>
  </si>
  <si>
    <t>EP11</t>
  </si>
  <si>
    <t>Check-in</t>
  </si>
  <si>
    <t>checkin-service: validación online con escritura condicional</t>
  </si>
  <si>
    <t>Doble ingreso rechazado</t>
  </si>
  <si>
    <t>BL-070</t>
  </si>
  <si>
    <t>App staff PWA: escaneo de QR con cámara</t>
  </si>
  <si>
    <t>Escaneo en menos de 1 s en los dispositivos objetivo</t>
  </si>
  <si>
    <t>BL-071</t>
  </si>
  <si>
    <t>Modo offline: manifiesto, validación local de firma y cola de escaneos</t>
  </si>
  <si>
    <t>Check-in sin red validado</t>
  </si>
  <si>
    <t>BL-072</t>
  </si>
  <si>
    <t>Sincronización offline y resolución de conflictos (API)</t>
  </si>
  <si>
    <t>Duplicados detectados y alertados</t>
  </si>
  <si>
    <t>BL-073</t>
  </si>
  <si>
    <t>Aforo en tiempo real para el promotor</t>
  </si>
  <si>
    <t>Dashboard con ingresos por puerta</t>
  </si>
  <si>
    <t>BL-074</t>
  </si>
  <si>
    <t>Pruebas de campo del check-in con conectividad degradada</t>
  </si>
  <si>
    <t>Informe de pruebas de campo</t>
  </si>
  <si>
    <t>BL-075</t>
  </si>
  <si>
    <t>EP12</t>
  </si>
  <si>
    <t>Backoffice, auditoría y BI</t>
  </si>
  <si>
    <t>Backoffice de soporte: búsqueda de órdenes, reenvío de tickets y reembolsos</t>
  </si>
  <si>
    <t>Soporte resuelve casos sin acceder a la BD</t>
  </si>
  <si>
    <t>BL-076</t>
  </si>
  <si>
    <t>APIs de soporte con auditoría de acciones del administrador</t>
  </si>
  <si>
    <t>Cada acción queda auditada</t>
  </si>
  <si>
    <t>BL-077</t>
  </si>
  <si>
    <t>audit-service: registro inmutable (S3 Object Lock) y consulta</t>
  </si>
  <si>
    <t>Registros no modificables</t>
  </si>
  <si>
    <t>BL-078</t>
  </si>
  <si>
    <t>Gestión de catálogos y configuración (admin)</t>
  </si>
  <si>
    <t>El admin configura parámetros sin despliegue</t>
  </si>
  <si>
    <t>BL-079</t>
  </si>
  <si>
    <t>Reportes de ventas y aforo para promotores</t>
  </si>
  <si>
    <t>Reporte exportable por evento</t>
  </si>
  <si>
    <t>BL-080</t>
  </si>
  <si>
    <t>Exportación de eventos de negocio a BI/CRM (Firehose → S3)</t>
  </si>
  <si>
    <t>Datos disponibles en Athena</t>
  </si>
  <si>
    <t>BL-081</t>
  </si>
  <si>
    <t>SLO, alarmas y runbooks por servicio</t>
  </si>
  <si>
    <t>Alarmas probadas y runbooks publicados</t>
  </si>
  <si>
    <t>BL-082</t>
  </si>
  <si>
    <t>Pruebas de carga de preventa y ajuste</t>
  </si>
  <si>
    <t>Plataforma · BD</t>
  </si>
  <si>
    <t>SLO cumplidos con la carga objetivo</t>
  </si>
  <si>
    <t>BL-083</t>
  </si>
  <si>
    <t>Optimización de rendimiento según resultados (índices, caché, autoescalado)</t>
  </si>
  <si>
    <t>Mejoras verificadas en una nueva corrida</t>
  </si>
  <si>
    <t>BL-084</t>
  </si>
  <si>
    <t>Pentest externo</t>
  </si>
  <si>
    <t>Informe de pentest entregado</t>
  </si>
  <si>
    <t>BL-085</t>
  </si>
  <si>
    <t>Remediación de hallazgos de seguridad</t>
  </si>
  <si>
    <t>0 hallazgos críticos o altos abiertos</t>
  </si>
  <si>
    <t>BL-086</t>
  </si>
  <si>
    <t>Prueba de recuperación ante desastres (restore y failover multi-AZ)</t>
  </si>
  <si>
    <t>RPO y RTO verificados</t>
  </si>
  <si>
    <t>BL-087</t>
  </si>
  <si>
    <t>Accesibilidad WCAG 2.1 AA y ajustes de UX</t>
  </si>
  <si>
    <t>Auditoría automática sin errores críticos</t>
  </si>
  <si>
    <t>BL-088</t>
  </si>
  <si>
    <t>Corrección de defectos y deuda técnica priorizada</t>
  </si>
  <si>
    <t>Defectos críticos en cero</t>
  </si>
  <si>
    <t>BL-089</t>
  </si>
  <si>
    <t>EP14</t>
  </si>
  <si>
    <t>Salida a producción</t>
  </si>
  <si>
    <t>Aprovisionamiento y hardening de Producción (Terraform)</t>
  </si>
  <si>
    <t>Entorno PROD aprobado por Seguridad</t>
  </si>
  <si>
    <t>BL-090</t>
  </si>
  <si>
    <t>Configuración de producción, secretos y ensayo de despliegue</t>
  </si>
  <si>
    <t>Ensayo de despliegue exitoso</t>
  </si>
  <si>
    <t>BL-091</t>
  </si>
  <si>
    <t>UAT en Staging con negocio</t>
  </si>
  <si>
    <t>Acta de UAT firmada</t>
  </si>
  <si>
    <t>BL-092</t>
  </si>
  <si>
    <t>Carga de datos iniciales (catálogos, recintos, promotores piloto)</t>
  </si>
  <si>
    <t>Datos verificados en PROD</t>
  </si>
  <si>
    <t>BL-093</t>
  </si>
  <si>
    <t>Corrección de defectos de UAT</t>
  </si>
  <si>
    <t>Sin defectos bloqueantes</t>
  </si>
  <si>
    <t>BL-094</t>
  </si>
  <si>
    <t>Manuales de usuario (cliente, promotor, staff, admin)</t>
  </si>
  <si>
    <t>PO · UX · QA</t>
  </si>
  <si>
    <t>Manuales publicados</t>
  </si>
  <si>
    <t>BL-095</t>
  </si>
  <si>
    <t>Checklist de go-live, plan de rollback y aprobación del CAB</t>
  </si>
  <si>
    <t>LT · SM</t>
  </si>
  <si>
    <t>Arquitectura · BD · Seguridad · Plataforma</t>
  </si>
  <si>
    <t>Go / no-go aprobado</t>
  </si>
  <si>
    <t>BL-096</t>
  </si>
  <si>
    <t>Despliegue blue/green a Producción y smoke tests</t>
  </si>
  <si>
    <t>v1.0 en producción (hito H6)</t>
  </si>
  <si>
    <t>BL-097</t>
  </si>
  <si>
    <t>Plan de hipercuidado (2 semanas posteriores al go-live)</t>
  </si>
  <si>
    <t>SM · LT</t>
  </si>
  <si>
    <t>Guardias y canal de incidentes definidos</t>
  </si>
  <si>
    <t>BL-098</t>
  </si>
  <si>
    <t>EP15</t>
  </si>
  <si>
    <t>Evolución post v1.0</t>
  </si>
  <si>
    <t>Promociones y cupones (pricing-promotion-service)</t>
  </si>
  <si>
    <t>Won't (v1)</t>
  </si>
  <si>
    <t>Post v1.0</t>
  </si>
  <si>
    <t>Fuera del alcance de la v1.0</t>
  </si>
  <si>
    <t>BL-099</t>
  </si>
  <si>
    <t>Marketplace de reventa de tickets</t>
  </si>
  <si>
    <t>BL-100</t>
  </si>
  <si>
    <t>Asientos numerados con mapa del recinto</t>
  </si>
  <si>
    <t>BL-101</t>
  </si>
  <si>
    <t>Integraciones con socios (webhooks salientes / EventBridge)</t>
  </si>
  <si>
    <t>Plan de sprints</t>
  </si>
  <si>
    <t>Las fechas se calculan a partir de la fecha de inicio (hoja Resumen). La capacidad (azul) es editable.</t>
  </si>
  <si>
    <t>Fase</t>
  </si>
  <si>
    <t>Inicio</t>
  </si>
  <si>
    <t>Fin</t>
  </si>
  <si>
    <t>Objetivo del sprint</t>
  </si>
  <si>
    <t>Capacidad (SP)</t>
  </si>
  <si>
    <t>SP planificados</t>
  </si>
  <si>
    <t>Utilización</t>
  </si>
  <si>
    <t>Hito</t>
  </si>
  <si>
    <t>Notas</t>
  </si>
  <si>
    <t>F0 · Inception y fundaciones</t>
  </si>
  <si>
    <t>Inception: visión, story map, arquitectura aprobada, cuentas AWS, plantillas y CI base</t>
  </si>
  <si>
    <t>H1 · Arquitectura aprobada</t>
  </si>
  <si>
    <t>Arranque: capacidad reducida</t>
  </si>
  <si>
    <t>Walking skeleton event-service → bus → notification-service en DEV/QA con IaC, observabilidad y design system</t>
  </si>
  <si>
    <t>H2 · Walking skeleton en QA</t>
  </si>
  <si>
    <t>F1 · Identidad, catálogo y búsqueda</t>
  </si>
  <si>
    <t>Identidad y accesos: Cognito, roles, login de cliente y backoffice, perfiles y promotores</t>
  </si>
  <si>
    <t>Gestión de eventos: evento, zonas, precios, aforos y reglas de venta en el backoffice</t>
  </si>
  <si>
    <t>Publicación y búsqueda: eventos de integración, OpenSearch, sitio público de búsqueda y detalle</t>
  </si>
  <si>
    <t>H3 · Release interno R0 (catálogo y búsqueda) en Staging</t>
  </si>
  <si>
    <t>F2 · Compra, pagos y tickets</t>
  </si>
  <si>
    <t>Inventario sin sobreventa: holds atómicos, expiración, sala de espera y selección de zona</t>
  </si>
  <si>
    <t>Feriados de fin de año: capacidad reducida</t>
  </si>
  <si>
    <t>Órdenes y pagos: saga de compra, PSP en sandbox, webhooks y checkout</t>
  </si>
  <si>
    <t>Pagos y tickets: compensaciones, reembolsos, conciliación, QR firmado y Mis tickets</t>
  </si>
  <si>
    <t>Notificaciones multicanal, antifraude y compra de punta a punta automatizada</t>
  </si>
  <si>
    <t>H4 · Compra de punta a punta en QA</t>
  </si>
  <si>
    <t>F3 · Check-in, backoffice y operación</t>
  </si>
  <si>
    <t>Check-in online y offline, app de staff (PWA) y aforo en tiempo real</t>
  </si>
  <si>
    <t>Backoffice de soporte, auditoría, reportes, exportación a BI, alarmas y runbooks</t>
  </si>
  <si>
    <t>H5 · Feature complete (congelamiento funcional)</t>
  </si>
  <si>
    <t>F4 · Estabilización y salida a producción</t>
  </si>
  <si>
    <t>Estabilización: carga de preventa, pentest, recuperación ante desastres, accesibilidad y defectos</t>
  </si>
  <si>
    <t>Pentest externo en paralelo</t>
  </si>
  <si>
    <t>UAT, aprovisionamiento de producción, datos iniciales, manuales y go-live</t>
  </si>
  <si>
    <t>H6 · Go-live v1.0</t>
  </si>
  <si>
    <t>Hipercuidado de 2 semanas posterior al go-live</t>
  </si>
  <si>
    <t>Roadmap v1.0 · Gantt por épica</t>
  </si>
  <si>
    <t>Las barras se calculan desde el Backlog (sprint mínimo y máximo de cada épica). Cambiar el sprint de un ítem mueve la barra.</t>
  </si>
  <si>
    <t>Nombre</t>
  </si>
  <si>
    <t>Inicio del sprint</t>
  </si>
  <si>
    <t>Hitos</t>
  </si>
  <si>
    <t>Fecha</t>
  </si>
  <si>
    <t>Matriz RACI</t>
  </si>
  <si>
    <t>R = Responsable · A = Aprueba · C = Consultado · I = Informado</t>
  </si>
  <si>
    <t>Actividad</t>
  </si>
  <si>
    <t>SM</t>
  </si>
  <si>
    <t>Dev (BE/FE/FS)</t>
  </si>
  <si>
    <t>Visión y priorización del backlog</t>
  </si>
  <si>
    <t>A/R</t>
  </si>
  <si>
    <t>C</t>
  </si>
  <si>
    <t>I</t>
  </si>
  <si>
    <t>Diseño de arquitectura (SAD, ADR)</t>
  </si>
  <si>
    <t>R</t>
  </si>
  <si>
    <t>A</t>
  </si>
  <si>
    <t>Modelo de datos y scripts</t>
  </si>
  <si>
    <t>Ejecución de scripts en Staging y Producción</t>
  </si>
  <si>
    <t>Aprovisionamiento de nube / on-premise (IaC)</t>
  </si>
  <si>
    <t>Firewall, WAF, IAM y políticas de seguridad</t>
  </si>
  <si>
    <t>Modelo de amenazas y revisiones de seguridad</t>
  </si>
  <si>
    <t>Pipelines de CI/CD</t>
  </si>
  <si>
    <t>Desarrollo y pruebas unitarias</t>
  </si>
  <si>
    <t>Revisión de código</t>
  </si>
  <si>
    <t>Diseño UX/UI</t>
  </si>
  <si>
    <t>Pruebas funcionales y regresión</t>
  </si>
  <si>
    <t>Pruebas de carga y rendimiento</t>
  </si>
  <si>
    <t>Pentest y remediación</t>
  </si>
  <si>
    <t>UAT</t>
  </si>
  <si>
    <t>Despliegue a producción</t>
  </si>
  <si>
    <t>Ceremonias e impedimentos</t>
  </si>
  <si>
    <t>Documentación funcional</t>
  </si>
  <si>
    <t>Documentación técnica</t>
  </si>
  <si>
    <t>Hipercuidado post go-live</t>
  </si>
  <si>
    <t>Documentación técnica y funcional</t>
  </si>
  <si>
    <t>Documentos que exige el proceso DEV → QA → Staging → Producción</t>
  </si>
  <si>
    <t>#</t>
  </si>
  <si>
    <t>Aprueba</t>
  </si>
  <si>
    <t>Cuándo</t>
  </si>
  <si>
    <t>Funcional</t>
  </si>
  <si>
    <t>Sponsor</t>
  </si>
  <si>
    <t>Sprint 0</t>
  </si>
  <si>
    <t>Mapa de historias y roadmap</t>
  </si>
  <si>
    <t>PO + LT + SM</t>
  </si>
  <si>
    <t>Sprint 0 (vivo)</t>
  </si>
  <si>
    <t>Historias de usuario con criterios Gherkin</t>
  </si>
  <si>
    <t>Continuo (DoR)</t>
  </si>
  <si>
    <t>Reglas de negocio (venta, aforos, reembolsos, check-in)</t>
  </si>
  <si>
    <t>Negocio</t>
  </si>
  <si>
    <t>Sprints 1–7</t>
  </si>
  <si>
    <t>Prototipos UX y design system</t>
  </si>
  <si>
    <t>UX / UI</t>
  </si>
  <si>
    <t>Sprints 0–2 y por épica</t>
  </si>
  <si>
    <t>Documento de arquitectura (SAD, C4) + ADR</t>
  </si>
  <si>
    <t>Técnico</t>
  </si>
  <si>
    <t>Modelo de amenazas y requisitos de seguridad</t>
  </si>
  <si>
    <t>LT + Seguridad</t>
  </si>
  <si>
    <t>Sprint 0; se actualiza por épica</t>
  </si>
  <si>
    <t>Modelo de datos y diccionario de datos por servicio</t>
  </si>
  <si>
    <t>Dev + LT</t>
  </si>
  <si>
    <t>Por servicio</t>
  </si>
  <si>
    <t>Contratos de API (OpenAPI) y catálogo de eventos (AsyncAPI)</t>
  </si>
  <si>
    <t>Dev</t>
  </si>
  <si>
    <t>Por historia</t>
  </si>
  <si>
    <t>Diseño de infraestructura y módulos Terraform</t>
  </si>
  <si>
    <t>Plataforma + FS</t>
  </si>
  <si>
    <t>Arquitectura + Seguridad</t>
  </si>
  <si>
    <t>Sprints 0–1</t>
  </si>
  <si>
    <t>Estrategia y plan de pruebas, informes por sprint</t>
  </si>
  <si>
    <t>LT + PO</t>
  </si>
  <si>
    <t>Sprint 1; por sprint</t>
  </si>
  <si>
    <t>Plan e informe de pruebas de carga</t>
  </si>
  <si>
    <t>QA + BE</t>
  </si>
  <si>
    <t>Sprint 11</t>
  </si>
  <si>
    <t>Informe de pentest y plan de remediación</t>
  </si>
  <si>
    <t>Runbooks, playbooks de incidentes y manual de despliegue</t>
  </si>
  <si>
    <t>FS + Plataforma</t>
  </si>
  <si>
    <t>Sprints 10–12</t>
  </si>
  <si>
    <t>Plan de recuperación ante desastres y continuidad</t>
  </si>
  <si>
    <t>Plataforma + LT</t>
  </si>
  <si>
    <t>PO + UX + QA</t>
  </si>
  <si>
    <t>Plan y acta de UAT</t>
  </si>
  <si>
    <t>PO + QA</t>
  </si>
  <si>
    <t>Sprint 12</t>
  </si>
  <si>
    <t>Checklist de go-live y plan de rollback</t>
  </si>
  <si>
    <t>LT + SM</t>
  </si>
  <si>
    <t>CAB</t>
  </si>
  <si>
    <t>Release notes</t>
  </si>
  <si>
    <t>PO + SM</t>
  </si>
  <si>
    <t>Cada release</t>
  </si>
  <si>
    <t>README y guía de contribución por repositorio</t>
  </si>
  <si>
    <t>Registro de riesgos</t>
  </si>
  <si>
    <t>Probabilidad e impacto: 1 = bajo, 2 = medio, 3 = alto (editables). Severidad = P × I; Alto ≥ 6, Medio ≥ 3.</t>
  </si>
  <si>
    <t>Riesgo</t>
  </si>
  <si>
    <t>Probabilidad</t>
  </si>
  <si>
    <t>Impacto</t>
  </si>
  <si>
    <t>Severidad</t>
  </si>
  <si>
    <t>Nivel</t>
  </si>
  <si>
    <t>Mitigación</t>
  </si>
  <si>
    <t>Revisión</t>
  </si>
  <si>
    <t>R01</t>
  </si>
  <si>
    <t>Retrasos en aprobaciones y aprovisionamiento de las áreas de soporte</t>
  </si>
  <si>
    <t>Solicitudes con un sprint de anticipación, historias habilitadoras, sincronización semanal, módulos Terraform de autoservicio</t>
  </si>
  <si>
    <t>Cada sprint</t>
  </si>
  <si>
    <t>R02</t>
  </si>
  <si>
    <t>Integración o certificación del PSP más lenta de lo previsto</t>
  </si>
  <si>
    <t>Spike en S0, sandbox temprano, contacto técnico con el PSP, PSP alternativo identificado</t>
  </si>
  <si>
    <t>LT · FullStack</t>
  </si>
  <si>
    <t>S0, S6</t>
  </si>
  <si>
    <t>R03</t>
  </si>
  <si>
    <t>Volúmenes de preventa superiores a lo estimado</t>
  </si>
  <si>
    <t>Sala de espera, pruebas de carga desde S5, autoescalado, contadores particionados</t>
  </si>
  <si>
    <t>LT · QA</t>
  </si>
  <si>
    <t>S5, S11</t>
  </si>
  <si>
    <t>R04</t>
  </si>
  <si>
    <t>Alcance mayor a la capacidad disponible en 6 meses</t>
  </si>
  <si>
    <t>Priorización MoSCoW, recortes predefinidos (Wallet, SMS/WhatsApp, BI), burn-up quincenal con el PO</t>
  </si>
  <si>
    <t>PO · SM</t>
  </si>
  <si>
    <t>R05</t>
  </si>
  <si>
    <t>Menor capacidad en diciembre y enero (vacaciones y feriados)</t>
  </si>
  <si>
    <t>Capacidad reducida en S5–S6, plan de vacaciones escalonado</t>
  </si>
  <si>
    <t>S4</t>
  </si>
  <si>
    <t>R06</t>
  </si>
  <si>
    <t>Curva de aprendizaje en arquitectura orientada a eventos y AWS</t>
  </si>
  <si>
    <t>Plantilla de servicio, pairing, guías y revisión de código del LT</t>
  </si>
  <si>
    <t>S0–S3</t>
  </si>
  <si>
    <t>R07</t>
  </si>
  <si>
    <t>Hallazgos críticos de seguridad cerca del go-live</t>
  </si>
  <si>
    <t>SAST/DAST continuos, revisiones de seguridad por épica, pentest en S11 con tiempo de remediación</t>
  </si>
  <si>
    <t>LT · Seguridad</t>
  </si>
  <si>
    <t>S11</t>
  </si>
  <si>
    <t>R08</t>
  </si>
  <si>
    <t>Fallas de conectividad en recintos durante el check-in</t>
  </si>
  <si>
    <t>Modo offline con manifiesto firmado y pruebas de campo en S9</t>
  </si>
  <si>
    <t>S9</t>
  </si>
  <si>
    <t>R09</t>
  </si>
  <si>
    <t>Incumplimiento de protección de datos personales o PCI</t>
  </si>
  <si>
    <t>Campos alojados del PSP, minimización de PII, revisión legal y de Seguridad</t>
  </si>
  <si>
    <t>PO · Seguridad</t>
  </si>
  <si>
    <t>S2, S6</t>
  </si>
  <si>
    <t>R10</t>
  </si>
  <si>
    <t>El LT se convierte en cuello de botella de decisiones y revisiones</t>
  </si>
  <si>
    <t>Delegar revisiones en seniors, ADR y guías de estándares</t>
  </si>
  <si>
    <t>R11</t>
  </si>
  <si>
    <t>Cambios de licencia en librerías de terceros</t>
  </si>
  <si>
    <t>Versiones con licencia abierta fijadas y revisión de dependencias en el pipeline</t>
  </si>
  <si>
    <t>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</si>
</sst>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S&quot;0"/>
    <numFmt numFmtId="166" formatCode="dd/mm"/>
  </numFmts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0000FF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C55A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right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/>
    </xf>
    <xf numFmtId="0" fontId="7" fillId="0" borderId="0" xfId="0" applyFont="1"/>
    <xf numFmtId="0" fontId="4" fillId="2" borderId="0" xfId="0" applyFont="1" applyFill="1"/>
    <xf numFmtId="0" fontId="7" fillId="0" borderId="1" xfId="0" applyFont="1" applyBorder="1" applyAlignment="1">
      <alignment horizontal="center" vertical="top"/>
    </xf>
    <xf numFmtId="165" fontId="7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14" fontId="4" fillId="0" borderId="1" xfId="0" applyNumberFormat="1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9" fontId="4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5" fontId="6" fillId="3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/>
    <xf numFmtId="14" fontId="4" fillId="0" borderId="1" xfId="0" applyNumberFormat="1" applyFont="1" applyBorder="1"/>
    <xf numFmtId="0" fontId="4" fillId="0" borderId="0" xfId="0" applyFont="1" applyAlignment="1">
      <alignment vertical="top" wrapText="1"/>
    </xf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right"/>
    </xf>
  </cellXfs>
  <cellStyles count="1">
    <cellStyle name="Normal" xfId="0" builtinId="0"/>
  </cellStyles>
  <dxfs count="16"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4472C4"/>
          <bgColor rgb="FF4472C4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5"/>
  <sheetViews>
    <sheetView showGridLines="0" tabSelected="1" workbookViewId="0"/>
  </sheetViews>
  <sheetFormatPr baseColWidth="10" defaultColWidth="9.140625" defaultRowHeight="15" x14ac:dyDescent="0.25"/>
  <cols>
    <col min="1" max="1" width="44" customWidth="1"/>
    <col min="2" max="2" width="4" customWidth="1"/>
    <col min="3" max="3" width="18" customWidth="1"/>
    <col min="4" max="4" width="60" customWidth="1"/>
  </cols>
  <sheetData>
    <row r="1" spans="1:4" ht="20.25" x14ac:dyDescent="0.3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</row>
    <row r="5" spans="1:4" x14ac:dyDescent="0.25">
      <c r="A5" s="4" t="s">
        <v>3</v>
      </c>
      <c r="C5" s="5">
        <v>46300</v>
      </c>
      <c r="D5" s="2" t="s">
        <v>4</v>
      </c>
    </row>
    <row r="6" spans="1:4" x14ac:dyDescent="0.25">
      <c r="A6" s="4" t="s">
        <v>5</v>
      </c>
      <c r="C6" s="6">
        <v>14</v>
      </c>
      <c r="D6" s="2" t="s">
        <v>6</v>
      </c>
    </row>
    <row r="7" spans="1:4" x14ac:dyDescent="0.25">
      <c r="A7" s="4" t="s">
        <v>7</v>
      </c>
      <c r="C7" s="7">
        <f>COUNT(Sprints!A5:A17)</f>
        <v>13</v>
      </c>
      <c r="D7" s="2" t="s">
        <v>8</v>
      </c>
    </row>
    <row r="8" spans="1:4" x14ac:dyDescent="0.25">
      <c r="A8" s="4" t="s">
        <v>9</v>
      </c>
      <c r="C8" s="8">
        <f>MAX(Sprints!D5:D17)</f>
        <v>46479</v>
      </c>
      <c r="D8" s="2"/>
    </row>
    <row r="9" spans="1:4" x14ac:dyDescent="0.25">
      <c r="A9" s="4" t="s">
        <v>10</v>
      </c>
      <c r="C9" s="7">
        <f>SUM(Sprints!F5:F17)</f>
        <v>460</v>
      </c>
      <c r="D9" s="2"/>
    </row>
    <row r="10" spans="1:4" x14ac:dyDescent="0.25">
      <c r="A10" s="4" t="s">
        <v>11</v>
      </c>
      <c r="C10" s="7">
        <f>SUMIFS(Backlog!$G$5:$G$200,Backlog!$H$5:$H$200,"&gt;=0")</f>
        <v>419</v>
      </c>
      <c r="D10" s="2"/>
    </row>
    <row r="11" spans="1:4" x14ac:dyDescent="0.25">
      <c r="A11" s="4" t="s">
        <v>12</v>
      </c>
      <c r="C11" s="9">
        <f>IF(C9=0,"",C10/C9)</f>
        <v>0.91086956521739126</v>
      </c>
      <c r="D11" s="2" t="s">
        <v>13</v>
      </c>
    </row>
    <row r="12" spans="1:4" x14ac:dyDescent="0.25">
      <c r="A12" s="4" t="s">
        <v>14</v>
      </c>
      <c r="C12" s="7">
        <f>COUNTA(Backlog!$A$5:$A$200)</f>
        <v>101</v>
      </c>
      <c r="D12" s="2"/>
    </row>
    <row r="13" spans="1:4" x14ac:dyDescent="0.25">
      <c r="A13" s="4" t="s">
        <v>15</v>
      </c>
      <c r="C13" s="7">
        <f>SUMIFS(Backlog!$G$5:$G$200,Backlog!$H$5:$H$200,"Post v1.0")</f>
        <v>55</v>
      </c>
      <c r="D13" s="2"/>
    </row>
    <row r="15" spans="1:4" x14ac:dyDescent="0.25">
      <c r="A15" s="3" t="s">
        <v>16</v>
      </c>
    </row>
    <row r="16" spans="1:4" ht="30" customHeight="1" x14ac:dyDescent="0.25">
      <c r="A16" s="35" t="s">
        <v>17</v>
      </c>
      <c r="B16" s="36"/>
      <c r="C16" s="36"/>
      <c r="D16" s="36"/>
    </row>
    <row r="17" spans="1:4" ht="30" customHeight="1" x14ac:dyDescent="0.25">
      <c r="A17" s="35" t="s">
        <v>18</v>
      </c>
      <c r="B17" s="36"/>
      <c r="C17" s="36"/>
      <c r="D17" s="36"/>
    </row>
    <row r="18" spans="1:4" ht="30" customHeight="1" x14ac:dyDescent="0.25">
      <c r="A18" s="35" t="s">
        <v>19</v>
      </c>
      <c r="B18" s="36"/>
      <c r="C18" s="36"/>
      <c r="D18" s="36"/>
    </row>
    <row r="19" spans="1:4" ht="30" customHeight="1" x14ac:dyDescent="0.25">
      <c r="A19" s="35" t="s">
        <v>20</v>
      </c>
      <c r="B19" s="36"/>
      <c r="C19" s="36"/>
      <c r="D19" s="36"/>
    </row>
    <row r="21" spans="1:4" x14ac:dyDescent="0.25">
      <c r="A21" s="3" t="s">
        <v>21</v>
      </c>
    </row>
    <row r="22" spans="1:4" x14ac:dyDescent="0.25">
      <c r="A22" s="10" t="s">
        <v>22</v>
      </c>
      <c r="B22" s="10"/>
      <c r="C22" s="10" t="s">
        <v>23</v>
      </c>
      <c r="D22" s="10" t="s">
        <v>24</v>
      </c>
    </row>
    <row r="23" spans="1:4" x14ac:dyDescent="0.25">
      <c r="A23" s="11" t="s">
        <v>25</v>
      </c>
      <c r="B23" s="11"/>
      <c r="C23" s="12">
        <v>1</v>
      </c>
      <c r="D23" s="11" t="s">
        <v>26</v>
      </c>
    </row>
    <row r="24" spans="1:4" x14ac:dyDescent="0.25">
      <c r="A24" s="11" t="s">
        <v>27</v>
      </c>
      <c r="B24" s="11"/>
      <c r="C24" s="12">
        <v>1</v>
      </c>
      <c r="D24" s="11" t="s">
        <v>28</v>
      </c>
    </row>
    <row r="25" spans="1:4" ht="25.5" x14ac:dyDescent="0.25">
      <c r="A25" s="11" t="s">
        <v>29</v>
      </c>
      <c r="B25" s="11"/>
      <c r="C25" s="12">
        <v>1</v>
      </c>
      <c r="D25" s="11" t="s">
        <v>30</v>
      </c>
    </row>
    <row r="26" spans="1:4" x14ac:dyDescent="0.25">
      <c r="A26" s="11" t="s">
        <v>31</v>
      </c>
      <c r="B26" s="11"/>
      <c r="C26" s="12">
        <v>2</v>
      </c>
      <c r="D26" s="11" t="s">
        <v>32</v>
      </c>
    </row>
    <row r="27" spans="1:4" x14ac:dyDescent="0.25">
      <c r="A27" s="11" t="s">
        <v>33</v>
      </c>
      <c r="B27" s="11"/>
      <c r="C27" s="12">
        <v>2</v>
      </c>
      <c r="D27" s="11" t="s">
        <v>34</v>
      </c>
    </row>
    <row r="28" spans="1:4" ht="25.5" x14ac:dyDescent="0.25">
      <c r="A28" s="11" t="s">
        <v>35</v>
      </c>
      <c r="B28" s="11"/>
      <c r="C28" s="12">
        <v>1</v>
      </c>
      <c r="D28" s="11" t="s">
        <v>36</v>
      </c>
    </row>
    <row r="29" spans="1:4" x14ac:dyDescent="0.25">
      <c r="A29" s="11" t="s">
        <v>37</v>
      </c>
      <c r="B29" s="11"/>
      <c r="C29" s="12">
        <v>2</v>
      </c>
      <c r="D29" s="11" t="s">
        <v>38</v>
      </c>
    </row>
    <row r="30" spans="1:4" x14ac:dyDescent="0.25">
      <c r="A30" s="11" t="s">
        <v>39</v>
      </c>
      <c r="B30" s="11"/>
      <c r="C30" s="12">
        <v>1</v>
      </c>
      <c r="D30" s="11" t="s">
        <v>40</v>
      </c>
    </row>
    <row r="31" spans="1:4" x14ac:dyDescent="0.25">
      <c r="A31" s="11" t="s">
        <v>41</v>
      </c>
      <c r="B31" s="11"/>
      <c r="C31" s="12">
        <v>1</v>
      </c>
      <c r="D31" s="11" t="s">
        <v>42</v>
      </c>
    </row>
    <row r="32" spans="1:4" ht="25.5" x14ac:dyDescent="0.25">
      <c r="A32" s="13" t="s">
        <v>43</v>
      </c>
      <c r="B32" s="11"/>
      <c r="C32" s="14">
        <f>SUM(C23:C31)</f>
        <v>12</v>
      </c>
      <c r="D32" s="11" t="s">
        <v>44</v>
      </c>
    </row>
    <row r="34" spans="1:4" x14ac:dyDescent="0.25">
      <c r="A34" s="3" t="s">
        <v>45</v>
      </c>
    </row>
    <row r="35" spans="1:4" x14ac:dyDescent="0.25">
      <c r="A35" s="15" t="s">
        <v>46</v>
      </c>
      <c r="D35" s="4" t="s">
        <v>47</v>
      </c>
    </row>
    <row r="36" spans="1:4" x14ac:dyDescent="0.25">
      <c r="A36" s="16" t="s">
        <v>48</v>
      </c>
      <c r="D36" s="4" t="s">
        <v>49</v>
      </c>
    </row>
    <row r="37" spans="1:4" x14ac:dyDescent="0.25">
      <c r="A37" s="4" t="s">
        <v>50</v>
      </c>
      <c r="D37" s="4" t="s">
        <v>51</v>
      </c>
    </row>
    <row r="39" spans="1:4" x14ac:dyDescent="0.25">
      <c r="A39" s="3" t="s">
        <v>52</v>
      </c>
    </row>
    <row r="40" spans="1:4" x14ac:dyDescent="0.25">
      <c r="A40" s="3" t="s">
        <v>53</v>
      </c>
      <c r="D40" s="4" t="s">
        <v>54</v>
      </c>
    </row>
    <row r="41" spans="1:4" x14ac:dyDescent="0.25">
      <c r="A41" s="3" t="s">
        <v>55</v>
      </c>
      <c r="D41" s="4" t="s">
        <v>56</v>
      </c>
    </row>
    <row r="42" spans="1:4" x14ac:dyDescent="0.25">
      <c r="A42" s="3" t="s">
        <v>57</v>
      </c>
      <c r="D42" s="4" t="s">
        <v>58</v>
      </c>
    </row>
    <row r="43" spans="1:4" x14ac:dyDescent="0.25">
      <c r="A43" s="3" t="s">
        <v>59</v>
      </c>
      <c r="D43" s="4" t="s">
        <v>60</v>
      </c>
    </row>
    <row r="44" spans="1:4" x14ac:dyDescent="0.25">
      <c r="A44" s="3" t="s">
        <v>61</v>
      </c>
      <c r="D44" s="4" t="s">
        <v>62</v>
      </c>
    </row>
    <row r="45" spans="1:4" x14ac:dyDescent="0.25">
      <c r="A45" s="3" t="s">
        <v>63</v>
      </c>
      <c r="D45" s="4" t="s">
        <v>64</v>
      </c>
    </row>
  </sheetData>
  <mergeCells count="4">
    <mergeCell ref="A19:D19"/>
    <mergeCell ref="A17:D17"/>
    <mergeCell ref="A18:D18"/>
    <mergeCell ref="A16:D16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5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8" customWidth="1"/>
    <col min="3" max="3" width="26" customWidth="1"/>
    <col min="4" max="4" width="58" customWidth="1"/>
    <col min="5" max="6" width="11" customWidth="1"/>
    <col min="7" max="7" width="6" customWidth="1"/>
    <col min="8" max="8" width="10" customWidth="1"/>
    <col min="9" max="9" width="15" customWidth="1"/>
    <col min="10" max="10" width="22" customWidth="1"/>
    <col min="11" max="11" width="46" customWidth="1"/>
    <col min="12" max="12" width="12" customWidth="1"/>
  </cols>
  <sheetData>
    <row r="1" spans="1:12" ht="20.25" x14ac:dyDescent="0.3">
      <c r="A1" s="1" t="s">
        <v>65</v>
      </c>
    </row>
    <row r="2" spans="1:12" x14ac:dyDescent="0.25">
      <c r="A2" s="2" t="s">
        <v>66</v>
      </c>
    </row>
    <row r="4" spans="1:12" x14ac:dyDescent="0.25">
      <c r="A4" s="10" t="s">
        <v>67</v>
      </c>
      <c r="B4" s="10" t="s">
        <v>68</v>
      </c>
      <c r="C4" s="10" t="s">
        <v>69</v>
      </c>
      <c r="D4" s="10" t="s">
        <v>70</v>
      </c>
      <c r="E4" s="10" t="s">
        <v>71</v>
      </c>
      <c r="F4" s="10" t="s">
        <v>72</v>
      </c>
      <c r="G4" s="10" t="s">
        <v>73</v>
      </c>
      <c r="H4" s="10" t="s">
        <v>74</v>
      </c>
      <c r="I4" s="10" t="s">
        <v>75</v>
      </c>
      <c r="J4" s="10" t="s">
        <v>76</v>
      </c>
      <c r="K4" s="10" t="s">
        <v>77</v>
      </c>
      <c r="L4" s="10" t="s">
        <v>78</v>
      </c>
    </row>
    <row r="5" spans="1:12" x14ac:dyDescent="0.25">
      <c r="A5" s="11" t="s">
        <v>79</v>
      </c>
      <c r="B5" s="11" t="s">
        <v>80</v>
      </c>
      <c r="C5" s="11" t="s">
        <v>81</v>
      </c>
      <c r="D5" s="11" t="s">
        <v>82</v>
      </c>
      <c r="E5" s="11" t="s">
        <v>83</v>
      </c>
      <c r="F5" s="11" t="s">
        <v>84</v>
      </c>
      <c r="G5" s="17"/>
      <c r="H5" s="18">
        <v>0</v>
      </c>
      <c r="I5" s="11" t="s">
        <v>85</v>
      </c>
      <c r="J5" s="11" t="s">
        <v>86</v>
      </c>
      <c r="K5" s="11" t="s">
        <v>87</v>
      </c>
      <c r="L5" s="11" t="s">
        <v>88</v>
      </c>
    </row>
    <row r="6" spans="1:12" x14ac:dyDescent="0.25">
      <c r="A6" s="11" t="s">
        <v>89</v>
      </c>
      <c r="B6" s="11" t="s">
        <v>80</v>
      </c>
      <c r="C6" s="11" t="s">
        <v>81</v>
      </c>
      <c r="D6" s="11" t="s">
        <v>90</v>
      </c>
      <c r="E6" s="11" t="s">
        <v>83</v>
      </c>
      <c r="F6" s="11" t="s">
        <v>84</v>
      </c>
      <c r="G6" s="17"/>
      <c r="H6" s="18">
        <v>0</v>
      </c>
      <c r="I6" s="11" t="s">
        <v>91</v>
      </c>
      <c r="J6" s="11" t="s">
        <v>86</v>
      </c>
      <c r="K6" s="11" t="s">
        <v>92</v>
      </c>
      <c r="L6" s="11" t="s">
        <v>88</v>
      </c>
    </row>
    <row r="7" spans="1:12" ht="25.5" x14ac:dyDescent="0.25">
      <c r="A7" s="11" t="s">
        <v>93</v>
      </c>
      <c r="B7" s="11" t="s">
        <v>80</v>
      </c>
      <c r="C7" s="11" t="s">
        <v>81</v>
      </c>
      <c r="D7" s="11" t="s">
        <v>94</v>
      </c>
      <c r="E7" s="11" t="s">
        <v>95</v>
      </c>
      <c r="F7" s="11" t="s">
        <v>84</v>
      </c>
      <c r="G7" s="17"/>
      <c r="H7" s="18">
        <v>0</v>
      </c>
      <c r="I7" s="11" t="s">
        <v>39</v>
      </c>
      <c r="J7" s="11" t="s">
        <v>86</v>
      </c>
      <c r="K7" s="11" t="s">
        <v>96</v>
      </c>
      <c r="L7" s="11" t="s">
        <v>88</v>
      </c>
    </row>
    <row r="8" spans="1:12" x14ac:dyDescent="0.25">
      <c r="A8" s="11" t="s">
        <v>97</v>
      </c>
      <c r="B8" s="11" t="s">
        <v>80</v>
      </c>
      <c r="C8" s="11" t="s">
        <v>81</v>
      </c>
      <c r="D8" s="11" t="s">
        <v>98</v>
      </c>
      <c r="E8" s="11" t="s">
        <v>83</v>
      </c>
      <c r="F8" s="11" t="s">
        <v>84</v>
      </c>
      <c r="G8" s="17"/>
      <c r="H8" s="18">
        <v>0</v>
      </c>
      <c r="I8" s="11" t="s">
        <v>99</v>
      </c>
      <c r="J8" s="11" t="s">
        <v>100</v>
      </c>
      <c r="K8" s="11" t="s">
        <v>101</v>
      </c>
      <c r="L8" s="11" t="s">
        <v>88</v>
      </c>
    </row>
    <row r="9" spans="1:12" ht="25.5" x14ac:dyDescent="0.25">
      <c r="A9" s="11" t="s">
        <v>102</v>
      </c>
      <c r="B9" s="11" t="s">
        <v>80</v>
      </c>
      <c r="C9" s="11" t="s">
        <v>81</v>
      </c>
      <c r="D9" s="11" t="s">
        <v>103</v>
      </c>
      <c r="E9" s="11" t="s">
        <v>83</v>
      </c>
      <c r="F9" s="11" t="s">
        <v>84</v>
      </c>
      <c r="G9" s="17"/>
      <c r="H9" s="18">
        <v>0</v>
      </c>
      <c r="I9" s="11" t="s">
        <v>99</v>
      </c>
      <c r="J9" s="11" t="s">
        <v>104</v>
      </c>
      <c r="K9" s="11" t="s">
        <v>105</v>
      </c>
      <c r="L9" s="11" t="s">
        <v>88</v>
      </c>
    </row>
    <row r="10" spans="1:12" ht="25.5" x14ac:dyDescent="0.25">
      <c r="A10" s="11" t="s">
        <v>106</v>
      </c>
      <c r="B10" s="11" t="s">
        <v>80</v>
      </c>
      <c r="C10" s="11" t="s">
        <v>81</v>
      </c>
      <c r="D10" s="11" t="s">
        <v>107</v>
      </c>
      <c r="E10" s="11" t="s">
        <v>108</v>
      </c>
      <c r="F10" s="11" t="s">
        <v>84</v>
      </c>
      <c r="G10" s="17">
        <v>3</v>
      </c>
      <c r="H10" s="18">
        <v>0</v>
      </c>
      <c r="I10" s="11" t="s">
        <v>31</v>
      </c>
      <c r="J10" s="11" t="s">
        <v>109</v>
      </c>
      <c r="K10" s="11" t="s">
        <v>110</v>
      </c>
      <c r="L10" s="11" t="s">
        <v>88</v>
      </c>
    </row>
    <row r="11" spans="1:12" ht="25.5" x14ac:dyDescent="0.25">
      <c r="A11" s="11" t="s">
        <v>111</v>
      </c>
      <c r="B11" s="11" t="s">
        <v>80</v>
      </c>
      <c r="C11" s="11" t="s">
        <v>81</v>
      </c>
      <c r="D11" s="11" t="s">
        <v>112</v>
      </c>
      <c r="E11" s="11" t="s">
        <v>108</v>
      </c>
      <c r="F11" s="11" t="s">
        <v>84</v>
      </c>
      <c r="G11" s="17">
        <v>2</v>
      </c>
      <c r="H11" s="18">
        <v>0</v>
      </c>
      <c r="I11" s="11" t="s">
        <v>35</v>
      </c>
      <c r="J11" s="11" t="s">
        <v>104</v>
      </c>
      <c r="K11" s="11" t="s">
        <v>113</v>
      </c>
      <c r="L11" s="11" t="s">
        <v>88</v>
      </c>
    </row>
    <row r="12" spans="1:12" ht="25.5" x14ac:dyDescent="0.25">
      <c r="A12" s="11" t="s">
        <v>114</v>
      </c>
      <c r="B12" s="11" t="s">
        <v>115</v>
      </c>
      <c r="C12" s="11" t="s">
        <v>116</v>
      </c>
      <c r="D12" s="11" t="s">
        <v>117</v>
      </c>
      <c r="E12" s="11" t="s">
        <v>118</v>
      </c>
      <c r="F12" s="11" t="s">
        <v>84</v>
      </c>
      <c r="G12" s="17"/>
      <c r="H12" s="18">
        <v>0</v>
      </c>
      <c r="I12" s="11" t="s">
        <v>119</v>
      </c>
      <c r="J12" s="11" t="s">
        <v>120</v>
      </c>
      <c r="K12" s="11" t="s">
        <v>121</v>
      </c>
      <c r="L12" s="11" t="s">
        <v>88</v>
      </c>
    </row>
    <row r="13" spans="1:12" ht="25.5" x14ac:dyDescent="0.25">
      <c r="A13" s="11" t="s">
        <v>122</v>
      </c>
      <c r="B13" s="11" t="s">
        <v>115</v>
      </c>
      <c r="C13" s="11" t="s">
        <v>116</v>
      </c>
      <c r="D13" s="11" t="s">
        <v>123</v>
      </c>
      <c r="E13" s="11" t="s">
        <v>124</v>
      </c>
      <c r="F13" s="11" t="s">
        <v>84</v>
      </c>
      <c r="G13" s="17">
        <v>5</v>
      </c>
      <c r="H13" s="18">
        <v>0</v>
      </c>
      <c r="I13" s="11" t="s">
        <v>125</v>
      </c>
      <c r="J13" s="11" t="s">
        <v>86</v>
      </c>
      <c r="K13" s="11" t="s">
        <v>126</v>
      </c>
      <c r="L13" s="11" t="s">
        <v>88</v>
      </c>
    </row>
    <row r="14" spans="1:12" ht="25.5" x14ac:dyDescent="0.25">
      <c r="A14" s="11" t="s">
        <v>127</v>
      </c>
      <c r="B14" s="11" t="s">
        <v>115</v>
      </c>
      <c r="C14" s="11" t="s">
        <v>116</v>
      </c>
      <c r="D14" s="11" t="s">
        <v>128</v>
      </c>
      <c r="E14" s="11" t="s">
        <v>124</v>
      </c>
      <c r="F14" s="11" t="s">
        <v>84</v>
      </c>
      <c r="G14" s="17">
        <v>3</v>
      </c>
      <c r="H14" s="18">
        <v>0</v>
      </c>
      <c r="I14" s="11" t="s">
        <v>33</v>
      </c>
      <c r="J14" s="11" t="s">
        <v>86</v>
      </c>
      <c r="K14" s="11" t="s">
        <v>129</v>
      </c>
      <c r="L14" s="11" t="s">
        <v>88</v>
      </c>
    </row>
    <row r="15" spans="1:12" ht="25.5" x14ac:dyDescent="0.25">
      <c r="A15" s="11" t="s">
        <v>130</v>
      </c>
      <c r="B15" s="11" t="s">
        <v>115</v>
      </c>
      <c r="C15" s="11" t="s">
        <v>116</v>
      </c>
      <c r="D15" s="11" t="s">
        <v>131</v>
      </c>
      <c r="E15" s="11" t="s">
        <v>124</v>
      </c>
      <c r="F15" s="11" t="s">
        <v>84</v>
      </c>
      <c r="G15" s="17">
        <v>5</v>
      </c>
      <c r="H15" s="18">
        <v>0</v>
      </c>
      <c r="I15" s="11" t="s">
        <v>35</v>
      </c>
      <c r="J15" s="11" t="s">
        <v>104</v>
      </c>
      <c r="K15" s="11" t="s">
        <v>132</v>
      </c>
      <c r="L15" s="11" t="s">
        <v>88</v>
      </c>
    </row>
    <row r="16" spans="1:12" x14ac:dyDescent="0.25">
      <c r="A16" s="11" t="s">
        <v>133</v>
      </c>
      <c r="B16" s="11" t="s">
        <v>80</v>
      </c>
      <c r="C16" s="11" t="s">
        <v>81</v>
      </c>
      <c r="D16" s="11" t="s">
        <v>134</v>
      </c>
      <c r="E16" s="11" t="s">
        <v>83</v>
      </c>
      <c r="F16" s="11" t="s">
        <v>84</v>
      </c>
      <c r="G16" s="17"/>
      <c r="H16" s="18">
        <v>1</v>
      </c>
      <c r="I16" s="11" t="s">
        <v>99</v>
      </c>
      <c r="J16" s="11" t="s">
        <v>109</v>
      </c>
      <c r="K16" s="11" t="s">
        <v>135</v>
      </c>
      <c r="L16" s="11" t="s">
        <v>88</v>
      </c>
    </row>
    <row r="17" spans="1:12" x14ac:dyDescent="0.25">
      <c r="A17" s="11" t="s">
        <v>136</v>
      </c>
      <c r="B17" s="11" t="s">
        <v>80</v>
      </c>
      <c r="C17" s="11" t="s">
        <v>81</v>
      </c>
      <c r="D17" s="11" t="s">
        <v>137</v>
      </c>
      <c r="E17" s="11" t="s">
        <v>95</v>
      </c>
      <c r="F17" s="11" t="s">
        <v>84</v>
      </c>
      <c r="G17" s="17"/>
      <c r="H17" s="18">
        <v>1</v>
      </c>
      <c r="I17" s="11" t="s">
        <v>41</v>
      </c>
      <c r="J17" s="11" t="s">
        <v>86</v>
      </c>
      <c r="K17" s="11" t="s">
        <v>138</v>
      </c>
      <c r="L17" s="11" t="s">
        <v>88</v>
      </c>
    </row>
    <row r="18" spans="1:12" x14ac:dyDescent="0.25">
      <c r="A18" s="11" t="s">
        <v>139</v>
      </c>
      <c r="B18" s="11" t="s">
        <v>80</v>
      </c>
      <c r="C18" s="11" t="s">
        <v>81</v>
      </c>
      <c r="D18" s="11" t="s">
        <v>140</v>
      </c>
      <c r="E18" s="11" t="s">
        <v>95</v>
      </c>
      <c r="F18" s="11" t="s">
        <v>84</v>
      </c>
      <c r="G18" s="17"/>
      <c r="H18" s="18">
        <v>1</v>
      </c>
      <c r="I18" s="11" t="s">
        <v>141</v>
      </c>
      <c r="J18" s="11" t="s">
        <v>86</v>
      </c>
      <c r="K18" s="11" t="s">
        <v>142</v>
      </c>
      <c r="L18" s="11" t="s">
        <v>88</v>
      </c>
    </row>
    <row r="19" spans="1:12" ht="25.5" x14ac:dyDescent="0.25">
      <c r="A19" s="11" t="s">
        <v>143</v>
      </c>
      <c r="B19" s="11" t="s">
        <v>115</v>
      </c>
      <c r="C19" s="11" t="s">
        <v>116</v>
      </c>
      <c r="D19" s="11" t="s">
        <v>144</v>
      </c>
      <c r="E19" s="11" t="s">
        <v>118</v>
      </c>
      <c r="F19" s="11" t="s">
        <v>84</v>
      </c>
      <c r="G19" s="17"/>
      <c r="H19" s="18">
        <v>1</v>
      </c>
      <c r="I19" s="11" t="s">
        <v>119</v>
      </c>
      <c r="J19" s="11" t="s">
        <v>120</v>
      </c>
      <c r="K19" s="11" t="s">
        <v>145</v>
      </c>
      <c r="L19" s="11" t="s">
        <v>88</v>
      </c>
    </row>
    <row r="20" spans="1:12" ht="25.5" x14ac:dyDescent="0.25">
      <c r="A20" s="11" t="s">
        <v>146</v>
      </c>
      <c r="B20" s="11" t="s">
        <v>115</v>
      </c>
      <c r="C20" s="11" t="s">
        <v>116</v>
      </c>
      <c r="D20" s="11" t="s">
        <v>147</v>
      </c>
      <c r="E20" s="11" t="s">
        <v>118</v>
      </c>
      <c r="F20" s="11" t="s">
        <v>84</v>
      </c>
      <c r="G20" s="17"/>
      <c r="H20" s="18">
        <v>1</v>
      </c>
      <c r="I20" s="11" t="s">
        <v>104</v>
      </c>
      <c r="J20" s="11" t="s">
        <v>148</v>
      </c>
      <c r="K20" s="11" t="s">
        <v>149</v>
      </c>
      <c r="L20" s="11" t="s">
        <v>88</v>
      </c>
    </row>
    <row r="21" spans="1:12" ht="25.5" x14ac:dyDescent="0.25">
      <c r="A21" s="11" t="s">
        <v>150</v>
      </c>
      <c r="B21" s="11" t="s">
        <v>115</v>
      </c>
      <c r="C21" s="11" t="s">
        <v>116</v>
      </c>
      <c r="D21" s="11" t="s">
        <v>151</v>
      </c>
      <c r="E21" s="11" t="s">
        <v>124</v>
      </c>
      <c r="F21" s="11" t="s">
        <v>84</v>
      </c>
      <c r="G21" s="17">
        <v>5</v>
      </c>
      <c r="H21" s="18">
        <v>1</v>
      </c>
      <c r="I21" s="11" t="s">
        <v>35</v>
      </c>
      <c r="J21" s="11" t="s">
        <v>119</v>
      </c>
      <c r="K21" s="11" t="s">
        <v>152</v>
      </c>
      <c r="L21" s="11" t="s">
        <v>88</v>
      </c>
    </row>
    <row r="22" spans="1:12" ht="25.5" x14ac:dyDescent="0.25">
      <c r="A22" s="11" t="s">
        <v>153</v>
      </c>
      <c r="B22" s="11" t="s">
        <v>115</v>
      </c>
      <c r="C22" s="11" t="s">
        <v>116</v>
      </c>
      <c r="D22" s="11" t="s">
        <v>154</v>
      </c>
      <c r="E22" s="11" t="s">
        <v>124</v>
      </c>
      <c r="F22" s="11" t="s">
        <v>84</v>
      </c>
      <c r="G22" s="17">
        <v>5</v>
      </c>
      <c r="H22" s="18">
        <v>1</v>
      </c>
      <c r="I22" s="11" t="s">
        <v>35</v>
      </c>
      <c r="J22" s="11" t="s">
        <v>119</v>
      </c>
      <c r="K22" s="11" t="s">
        <v>155</v>
      </c>
      <c r="L22" s="11" t="s">
        <v>88</v>
      </c>
    </row>
    <row r="23" spans="1:12" ht="25.5" x14ac:dyDescent="0.25">
      <c r="A23" s="11" t="s">
        <v>156</v>
      </c>
      <c r="B23" s="11" t="s">
        <v>115</v>
      </c>
      <c r="C23" s="11" t="s">
        <v>116</v>
      </c>
      <c r="D23" s="11" t="s">
        <v>157</v>
      </c>
      <c r="E23" s="11" t="s">
        <v>124</v>
      </c>
      <c r="F23" s="11" t="s">
        <v>84</v>
      </c>
      <c r="G23" s="17">
        <v>8</v>
      </c>
      <c r="H23" s="18">
        <v>1</v>
      </c>
      <c r="I23" s="11" t="s">
        <v>31</v>
      </c>
      <c r="J23" s="11" t="s">
        <v>86</v>
      </c>
      <c r="K23" s="11" t="s">
        <v>158</v>
      </c>
      <c r="L23" s="11" t="s">
        <v>88</v>
      </c>
    </row>
    <row r="24" spans="1:12" ht="25.5" x14ac:dyDescent="0.25">
      <c r="A24" s="11" t="s">
        <v>159</v>
      </c>
      <c r="B24" s="11" t="s">
        <v>115</v>
      </c>
      <c r="C24" s="11" t="s">
        <v>116</v>
      </c>
      <c r="D24" s="11" t="s">
        <v>160</v>
      </c>
      <c r="E24" s="11" t="s">
        <v>124</v>
      </c>
      <c r="F24" s="11" t="s">
        <v>84</v>
      </c>
      <c r="G24" s="17">
        <v>3</v>
      </c>
      <c r="H24" s="18">
        <v>1</v>
      </c>
      <c r="I24" s="11" t="s">
        <v>31</v>
      </c>
      <c r="J24" s="11" t="s">
        <v>119</v>
      </c>
      <c r="K24" s="11" t="s">
        <v>161</v>
      </c>
      <c r="L24" s="11" t="s">
        <v>88</v>
      </c>
    </row>
    <row r="25" spans="1:12" x14ac:dyDescent="0.25">
      <c r="A25" s="11" t="s">
        <v>162</v>
      </c>
      <c r="B25" s="11" t="s">
        <v>163</v>
      </c>
      <c r="C25" s="11" t="s">
        <v>164</v>
      </c>
      <c r="D25" s="11" t="s">
        <v>165</v>
      </c>
      <c r="E25" s="11" t="s">
        <v>124</v>
      </c>
      <c r="F25" s="11" t="s">
        <v>84</v>
      </c>
      <c r="G25" s="17">
        <v>5</v>
      </c>
      <c r="H25" s="18">
        <v>1</v>
      </c>
      <c r="I25" s="11" t="s">
        <v>33</v>
      </c>
      <c r="J25" s="11" t="s">
        <v>86</v>
      </c>
      <c r="K25" s="11" t="s">
        <v>166</v>
      </c>
      <c r="L25" s="11" t="s">
        <v>88</v>
      </c>
    </row>
    <row r="26" spans="1:12" ht="25.5" x14ac:dyDescent="0.25">
      <c r="A26" s="11" t="s">
        <v>167</v>
      </c>
      <c r="B26" s="11" t="s">
        <v>115</v>
      </c>
      <c r="C26" s="11" t="s">
        <v>116</v>
      </c>
      <c r="D26" s="11" t="s">
        <v>168</v>
      </c>
      <c r="E26" s="11" t="s">
        <v>124</v>
      </c>
      <c r="F26" s="11" t="s">
        <v>84</v>
      </c>
      <c r="G26" s="17">
        <v>3</v>
      </c>
      <c r="H26" s="18">
        <v>1</v>
      </c>
      <c r="I26" s="11" t="s">
        <v>33</v>
      </c>
      <c r="J26" s="11" t="s">
        <v>86</v>
      </c>
      <c r="K26" s="11" t="s">
        <v>169</v>
      </c>
      <c r="L26" s="11" t="s">
        <v>88</v>
      </c>
    </row>
    <row r="27" spans="1:12" ht="25.5" x14ac:dyDescent="0.25">
      <c r="A27" s="11" t="s">
        <v>170</v>
      </c>
      <c r="B27" s="11" t="s">
        <v>171</v>
      </c>
      <c r="C27" s="11" t="s">
        <v>172</v>
      </c>
      <c r="D27" s="11" t="s">
        <v>173</v>
      </c>
      <c r="E27" s="11" t="s">
        <v>124</v>
      </c>
      <c r="F27" s="11" t="s">
        <v>84</v>
      </c>
      <c r="G27" s="17">
        <v>5</v>
      </c>
      <c r="H27" s="18">
        <v>1</v>
      </c>
      <c r="I27" s="11" t="s">
        <v>37</v>
      </c>
      <c r="J27" s="11" t="s">
        <v>86</v>
      </c>
      <c r="K27" s="11" t="s">
        <v>174</v>
      </c>
      <c r="L27" s="11" t="s">
        <v>88</v>
      </c>
    </row>
    <row r="28" spans="1:12" x14ac:dyDescent="0.25">
      <c r="A28" s="11" t="s">
        <v>175</v>
      </c>
      <c r="B28" s="11" t="s">
        <v>80</v>
      </c>
      <c r="C28" s="11" t="s">
        <v>81</v>
      </c>
      <c r="D28" s="11" t="s">
        <v>176</v>
      </c>
      <c r="E28" s="11" t="s">
        <v>95</v>
      </c>
      <c r="F28" s="11" t="s">
        <v>84</v>
      </c>
      <c r="G28" s="17"/>
      <c r="H28" s="18">
        <v>2</v>
      </c>
      <c r="I28" s="11" t="s">
        <v>141</v>
      </c>
      <c r="J28" s="11" t="s">
        <v>86</v>
      </c>
      <c r="K28" s="11" t="s">
        <v>177</v>
      </c>
      <c r="L28" s="11" t="s">
        <v>88</v>
      </c>
    </row>
    <row r="29" spans="1:12" ht="25.5" x14ac:dyDescent="0.25">
      <c r="A29" s="11" t="s">
        <v>178</v>
      </c>
      <c r="B29" s="11" t="s">
        <v>179</v>
      </c>
      <c r="C29" s="11" t="s">
        <v>180</v>
      </c>
      <c r="D29" s="11" t="s">
        <v>181</v>
      </c>
      <c r="E29" s="11" t="s">
        <v>124</v>
      </c>
      <c r="F29" s="11" t="s">
        <v>84</v>
      </c>
      <c r="G29" s="17">
        <v>5</v>
      </c>
      <c r="H29" s="18">
        <v>2</v>
      </c>
      <c r="I29" s="11" t="s">
        <v>31</v>
      </c>
      <c r="J29" s="11" t="s">
        <v>104</v>
      </c>
      <c r="K29" s="11" t="s">
        <v>182</v>
      </c>
      <c r="L29" s="11" t="s">
        <v>88</v>
      </c>
    </row>
    <row r="30" spans="1:12" x14ac:dyDescent="0.25">
      <c r="A30" s="11" t="s">
        <v>183</v>
      </c>
      <c r="B30" s="11" t="s">
        <v>179</v>
      </c>
      <c r="C30" s="11" t="s">
        <v>180</v>
      </c>
      <c r="D30" s="11" t="s">
        <v>184</v>
      </c>
      <c r="E30" s="11" t="s">
        <v>185</v>
      </c>
      <c r="F30" s="11" t="s">
        <v>84</v>
      </c>
      <c r="G30" s="17">
        <v>5</v>
      </c>
      <c r="H30" s="18">
        <v>2</v>
      </c>
      <c r="I30" s="11" t="s">
        <v>33</v>
      </c>
      <c r="J30" s="11" t="s">
        <v>86</v>
      </c>
      <c r="K30" s="11" t="s">
        <v>186</v>
      </c>
      <c r="L30" s="11" t="s">
        <v>88</v>
      </c>
    </row>
    <row r="31" spans="1:12" x14ac:dyDescent="0.25">
      <c r="A31" s="11" t="s">
        <v>187</v>
      </c>
      <c r="B31" s="11" t="s">
        <v>179</v>
      </c>
      <c r="C31" s="11" t="s">
        <v>180</v>
      </c>
      <c r="D31" s="11" t="s">
        <v>188</v>
      </c>
      <c r="E31" s="11" t="s">
        <v>185</v>
      </c>
      <c r="F31" s="11" t="s">
        <v>84</v>
      </c>
      <c r="G31" s="17">
        <v>3</v>
      </c>
      <c r="H31" s="18">
        <v>2</v>
      </c>
      <c r="I31" s="11" t="s">
        <v>33</v>
      </c>
      <c r="J31" s="11" t="s">
        <v>86</v>
      </c>
      <c r="K31" s="11" t="s">
        <v>189</v>
      </c>
      <c r="L31" s="11" t="s">
        <v>88</v>
      </c>
    </row>
    <row r="32" spans="1:12" x14ac:dyDescent="0.25">
      <c r="A32" s="11" t="s">
        <v>190</v>
      </c>
      <c r="B32" s="11" t="s">
        <v>179</v>
      </c>
      <c r="C32" s="11" t="s">
        <v>180</v>
      </c>
      <c r="D32" s="11" t="s">
        <v>191</v>
      </c>
      <c r="E32" s="11" t="s">
        <v>124</v>
      </c>
      <c r="F32" s="11" t="s">
        <v>84</v>
      </c>
      <c r="G32" s="17">
        <v>5</v>
      </c>
      <c r="H32" s="18">
        <v>2</v>
      </c>
      <c r="I32" s="11" t="s">
        <v>31</v>
      </c>
      <c r="J32" s="11" t="s">
        <v>104</v>
      </c>
      <c r="K32" s="11" t="s">
        <v>192</v>
      </c>
      <c r="L32" s="11" t="s">
        <v>88</v>
      </c>
    </row>
    <row r="33" spans="1:12" x14ac:dyDescent="0.25">
      <c r="A33" s="11" t="s">
        <v>193</v>
      </c>
      <c r="B33" s="11" t="s">
        <v>179</v>
      </c>
      <c r="C33" s="11" t="s">
        <v>180</v>
      </c>
      <c r="D33" s="11" t="s">
        <v>194</v>
      </c>
      <c r="E33" s="11" t="s">
        <v>185</v>
      </c>
      <c r="F33" s="11" t="s">
        <v>84</v>
      </c>
      <c r="G33" s="17">
        <v>5</v>
      </c>
      <c r="H33" s="18">
        <v>2</v>
      </c>
      <c r="I33" s="11" t="s">
        <v>31</v>
      </c>
      <c r="J33" s="11" t="s">
        <v>109</v>
      </c>
      <c r="K33" s="11" t="s">
        <v>195</v>
      </c>
      <c r="L33" s="11" t="s">
        <v>88</v>
      </c>
    </row>
    <row r="34" spans="1:12" x14ac:dyDescent="0.25">
      <c r="A34" s="11" t="s">
        <v>196</v>
      </c>
      <c r="B34" s="11" t="s">
        <v>179</v>
      </c>
      <c r="C34" s="11" t="s">
        <v>180</v>
      </c>
      <c r="D34" s="11" t="s">
        <v>197</v>
      </c>
      <c r="E34" s="11" t="s">
        <v>185</v>
      </c>
      <c r="F34" s="11" t="s">
        <v>84</v>
      </c>
      <c r="G34" s="17">
        <v>8</v>
      </c>
      <c r="H34" s="18">
        <v>2</v>
      </c>
      <c r="I34" s="11" t="s">
        <v>35</v>
      </c>
      <c r="J34" s="11" t="s">
        <v>86</v>
      </c>
      <c r="K34" s="11" t="s">
        <v>198</v>
      </c>
      <c r="L34" s="11" t="s">
        <v>88</v>
      </c>
    </row>
    <row r="35" spans="1:12" x14ac:dyDescent="0.25">
      <c r="A35" s="11" t="s">
        <v>199</v>
      </c>
      <c r="B35" s="11" t="s">
        <v>179</v>
      </c>
      <c r="C35" s="11" t="s">
        <v>180</v>
      </c>
      <c r="D35" s="11" t="s">
        <v>200</v>
      </c>
      <c r="E35" s="11" t="s">
        <v>124</v>
      </c>
      <c r="F35" s="11" t="s">
        <v>201</v>
      </c>
      <c r="G35" s="17">
        <v>3</v>
      </c>
      <c r="H35" s="18">
        <v>2</v>
      </c>
      <c r="I35" s="11" t="s">
        <v>31</v>
      </c>
      <c r="J35" s="11" t="s">
        <v>104</v>
      </c>
      <c r="K35" s="11" t="s">
        <v>202</v>
      </c>
      <c r="L35" s="11" t="s">
        <v>88</v>
      </c>
    </row>
    <row r="36" spans="1:12" ht="25.5" x14ac:dyDescent="0.25">
      <c r="A36" s="11" t="s">
        <v>203</v>
      </c>
      <c r="B36" s="11" t="s">
        <v>171</v>
      </c>
      <c r="C36" s="11" t="s">
        <v>172</v>
      </c>
      <c r="D36" s="11" t="s">
        <v>204</v>
      </c>
      <c r="E36" s="11" t="s">
        <v>124</v>
      </c>
      <c r="F36" s="11" t="s">
        <v>84</v>
      </c>
      <c r="G36" s="17">
        <v>3</v>
      </c>
      <c r="H36" s="18">
        <v>2</v>
      </c>
      <c r="I36" s="11" t="s">
        <v>37</v>
      </c>
      <c r="J36" s="11" t="s">
        <v>86</v>
      </c>
      <c r="K36" s="11" t="s">
        <v>205</v>
      </c>
      <c r="L36" s="11" t="s">
        <v>88</v>
      </c>
    </row>
    <row r="37" spans="1:12" x14ac:dyDescent="0.25">
      <c r="A37" s="11" t="s">
        <v>206</v>
      </c>
      <c r="B37" s="11" t="s">
        <v>163</v>
      </c>
      <c r="C37" s="11" t="s">
        <v>164</v>
      </c>
      <c r="D37" s="11" t="s">
        <v>207</v>
      </c>
      <c r="E37" s="11" t="s">
        <v>185</v>
      </c>
      <c r="F37" s="11" t="s">
        <v>84</v>
      </c>
      <c r="G37" s="17">
        <v>8</v>
      </c>
      <c r="H37" s="18">
        <v>3</v>
      </c>
      <c r="I37" s="11" t="s">
        <v>31</v>
      </c>
      <c r="J37" s="11" t="s">
        <v>109</v>
      </c>
      <c r="K37" s="11" t="s">
        <v>208</v>
      </c>
      <c r="L37" s="11" t="s">
        <v>88</v>
      </c>
    </row>
    <row r="38" spans="1:12" x14ac:dyDescent="0.25">
      <c r="A38" s="11" t="s">
        <v>209</v>
      </c>
      <c r="B38" s="11" t="s">
        <v>163</v>
      </c>
      <c r="C38" s="11" t="s">
        <v>164</v>
      </c>
      <c r="D38" s="11" t="s">
        <v>210</v>
      </c>
      <c r="E38" s="11" t="s">
        <v>185</v>
      </c>
      <c r="F38" s="11" t="s">
        <v>84</v>
      </c>
      <c r="G38" s="17">
        <v>8</v>
      </c>
      <c r="H38" s="18">
        <v>3</v>
      </c>
      <c r="I38" s="11" t="s">
        <v>33</v>
      </c>
      <c r="J38" s="11" t="s">
        <v>86</v>
      </c>
      <c r="K38" s="11" t="s">
        <v>211</v>
      </c>
      <c r="L38" s="11" t="s">
        <v>88</v>
      </c>
    </row>
    <row r="39" spans="1:12" x14ac:dyDescent="0.25">
      <c r="A39" s="11" t="s">
        <v>212</v>
      </c>
      <c r="B39" s="11" t="s">
        <v>163</v>
      </c>
      <c r="C39" s="11" t="s">
        <v>164</v>
      </c>
      <c r="D39" s="11" t="s">
        <v>213</v>
      </c>
      <c r="E39" s="11" t="s">
        <v>185</v>
      </c>
      <c r="F39" s="11" t="s">
        <v>84</v>
      </c>
      <c r="G39" s="17">
        <v>3</v>
      </c>
      <c r="H39" s="18">
        <v>3</v>
      </c>
      <c r="I39" s="11" t="s">
        <v>33</v>
      </c>
      <c r="J39" s="11" t="s">
        <v>86</v>
      </c>
      <c r="K39" s="11" t="s">
        <v>214</v>
      </c>
      <c r="L39" s="11" t="s">
        <v>88</v>
      </c>
    </row>
    <row r="40" spans="1:12" x14ac:dyDescent="0.25">
      <c r="A40" s="11" t="s">
        <v>215</v>
      </c>
      <c r="B40" s="11" t="s">
        <v>163</v>
      </c>
      <c r="C40" s="11" t="s">
        <v>164</v>
      </c>
      <c r="D40" s="11" t="s">
        <v>216</v>
      </c>
      <c r="E40" s="11" t="s">
        <v>185</v>
      </c>
      <c r="F40" s="11" t="s">
        <v>84</v>
      </c>
      <c r="G40" s="17">
        <v>5</v>
      </c>
      <c r="H40" s="18">
        <v>3</v>
      </c>
      <c r="I40" s="11" t="s">
        <v>31</v>
      </c>
      <c r="J40" s="11" t="s">
        <v>86</v>
      </c>
      <c r="K40" s="11" t="s">
        <v>217</v>
      </c>
      <c r="L40" s="11" t="s">
        <v>88</v>
      </c>
    </row>
    <row r="41" spans="1:12" x14ac:dyDescent="0.25">
      <c r="A41" s="11" t="s">
        <v>218</v>
      </c>
      <c r="B41" s="11" t="s">
        <v>163</v>
      </c>
      <c r="C41" s="11" t="s">
        <v>164</v>
      </c>
      <c r="D41" s="11" t="s">
        <v>219</v>
      </c>
      <c r="E41" s="11" t="s">
        <v>185</v>
      </c>
      <c r="F41" s="11" t="s">
        <v>84</v>
      </c>
      <c r="G41" s="17">
        <v>5</v>
      </c>
      <c r="H41" s="18">
        <v>3</v>
      </c>
      <c r="I41" s="11" t="s">
        <v>35</v>
      </c>
      <c r="J41" s="11" t="s">
        <v>86</v>
      </c>
      <c r="K41" s="11" t="s">
        <v>220</v>
      </c>
      <c r="L41" s="11" t="s">
        <v>88</v>
      </c>
    </row>
    <row r="42" spans="1:12" x14ac:dyDescent="0.25">
      <c r="A42" s="11" t="s">
        <v>221</v>
      </c>
      <c r="B42" s="11" t="s">
        <v>163</v>
      </c>
      <c r="C42" s="11" t="s">
        <v>164</v>
      </c>
      <c r="D42" s="11" t="s">
        <v>222</v>
      </c>
      <c r="E42" s="11" t="s">
        <v>185</v>
      </c>
      <c r="F42" s="11" t="s">
        <v>201</v>
      </c>
      <c r="G42" s="17">
        <v>5</v>
      </c>
      <c r="H42" s="18">
        <v>3</v>
      </c>
      <c r="I42" s="11" t="s">
        <v>35</v>
      </c>
      <c r="J42" s="11" t="s">
        <v>119</v>
      </c>
      <c r="K42" s="11" t="s">
        <v>223</v>
      </c>
      <c r="L42" s="11" t="s">
        <v>88</v>
      </c>
    </row>
    <row r="43" spans="1:12" ht="25.5" x14ac:dyDescent="0.25">
      <c r="A43" s="11" t="s">
        <v>224</v>
      </c>
      <c r="B43" s="11" t="s">
        <v>171</v>
      </c>
      <c r="C43" s="11" t="s">
        <v>172</v>
      </c>
      <c r="D43" s="11" t="s">
        <v>225</v>
      </c>
      <c r="E43" s="11" t="s">
        <v>124</v>
      </c>
      <c r="F43" s="11" t="s">
        <v>84</v>
      </c>
      <c r="G43" s="17">
        <v>5</v>
      </c>
      <c r="H43" s="18">
        <v>3</v>
      </c>
      <c r="I43" s="11" t="s">
        <v>37</v>
      </c>
      <c r="J43" s="11" t="s">
        <v>86</v>
      </c>
      <c r="K43" s="11" t="s">
        <v>226</v>
      </c>
      <c r="L43" s="11" t="s">
        <v>88</v>
      </c>
    </row>
    <row r="44" spans="1:12" x14ac:dyDescent="0.25">
      <c r="A44" s="11" t="s">
        <v>227</v>
      </c>
      <c r="B44" s="11" t="s">
        <v>163</v>
      </c>
      <c r="C44" s="11" t="s">
        <v>164</v>
      </c>
      <c r="D44" s="11" t="s">
        <v>228</v>
      </c>
      <c r="E44" s="11" t="s">
        <v>185</v>
      </c>
      <c r="F44" s="11" t="s">
        <v>84</v>
      </c>
      <c r="G44" s="17">
        <v>5</v>
      </c>
      <c r="H44" s="18">
        <v>4</v>
      </c>
      <c r="I44" s="11" t="s">
        <v>31</v>
      </c>
      <c r="J44" s="11" t="s">
        <v>86</v>
      </c>
      <c r="K44" s="11" t="s">
        <v>229</v>
      </c>
      <c r="L44" s="11" t="s">
        <v>88</v>
      </c>
    </row>
    <row r="45" spans="1:12" x14ac:dyDescent="0.25">
      <c r="A45" s="11" t="s">
        <v>230</v>
      </c>
      <c r="B45" s="11" t="s">
        <v>231</v>
      </c>
      <c r="C45" s="11" t="s">
        <v>232</v>
      </c>
      <c r="D45" s="11" t="s">
        <v>233</v>
      </c>
      <c r="E45" s="11" t="s">
        <v>124</v>
      </c>
      <c r="F45" s="11" t="s">
        <v>84</v>
      </c>
      <c r="G45" s="17">
        <v>8</v>
      </c>
      <c r="H45" s="18">
        <v>4</v>
      </c>
      <c r="I45" s="11" t="s">
        <v>31</v>
      </c>
      <c r="J45" s="11" t="s">
        <v>119</v>
      </c>
      <c r="K45" s="11" t="s">
        <v>234</v>
      </c>
      <c r="L45" s="11" t="s">
        <v>88</v>
      </c>
    </row>
    <row r="46" spans="1:12" x14ac:dyDescent="0.25">
      <c r="A46" s="11" t="s">
        <v>235</v>
      </c>
      <c r="B46" s="11" t="s">
        <v>231</v>
      </c>
      <c r="C46" s="11" t="s">
        <v>232</v>
      </c>
      <c r="D46" s="11" t="s">
        <v>236</v>
      </c>
      <c r="E46" s="11" t="s">
        <v>185</v>
      </c>
      <c r="F46" s="11" t="s">
        <v>84</v>
      </c>
      <c r="G46" s="17">
        <v>5</v>
      </c>
      <c r="H46" s="18">
        <v>4</v>
      </c>
      <c r="I46" s="11" t="s">
        <v>31</v>
      </c>
      <c r="J46" s="11" t="s">
        <v>86</v>
      </c>
      <c r="K46" s="11" t="s">
        <v>237</v>
      </c>
      <c r="L46" s="11" t="s">
        <v>88</v>
      </c>
    </row>
    <row r="47" spans="1:12" x14ac:dyDescent="0.25">
      <c r="A47" s="11" t="s">
        <v>238</v>
      </c>
      <c r="B47" s="11" t="s">
        <v>231</v>
      </c>
      <c r="C47" s="11" t="s">
        <v>232</v>
      </c>
      <c r="D47" s="11" t="s">
        <v>239</v>
      </c>
      <c r="E47" s="11" t="s">
        <v>185</v>
      </c>
      <c r="F47" s="11" t="s">
        <v>84</v>
      </c>
      <c r="G47" s="17">
        <v>8</v>
      </c>
      <c r="H47" s="18">
        <v>4</v>
      </c>
      <c r="I47" s="11" t="s">
        <v>33</v>
      </c>
      <c r="J47" s="11" t="s">
        <v>86</v>
      </c>
      <c r="K47" s="11" t="s">
        <v>240</v>
      </c>
      <c r="L47" s="11" t="s">
        <v>88</v>
      </c>
    </row>
    <row r="48" spans="1:12" x14ac:dyDescent="0.25">
      <c r="A48" s="11" t="s">
        <v>241</v>
      </c>
      <c r="B48" s="11" t="s">
        <v>231</v>
      </c>
      <c r="C48" s="11" t="s">
        <v>232</v>
      </c>
      <c r="D48" s="11" t="s">
        <v>242</v>
      </c>
      <c r="E48" s="11" t="s">
        <v>185</v>
      </c>
      <c r="F48" s="11" t="s">
        <v>84</v>
      </c>
      <c r="G48" s="17">
        <v>5</v>
      </c>
      <c r="H48" s="18">
        <v>4</v>
      </c>
      <c r="I48" s="11" t="s">
        <v>33</v>
      </c>
      <c r="J48" s="11" t="s">
        <v>86</v>
      </c>
      <c r="K48" s="11" t="s">
        <v>243</v>
      </c>
      <c r="L48" s="11" t="s">
        <v>88</v>
      </c>
    </row>
    <row r="49" spans="1:12" x14ac:dyDescent="0.25">
      <c r="A49" s="11" t="s">
        <v>244</v>
      </c>
      <c r="B49" s="11" t="s">
        <v>245</v>
      </c>
      <c r="C49" s="11" t="s">
        <v>246</v>
      </c>
      <c r="D49" s="11" t="s">
        <v>247</v>
      </c>
      <c r="E49" s="11" t="s">
        <v>185</v>
      </c>
      <c r="F49" s="11" t="s">
        <v>201</v>
      </c>
      <c r="G49" s="17">
        <v>5</v>
      </c>
      <c r="H49" s="18">
        <v>4</v>
      </c>
      <c r="I49" s="11" t="s">
        <v>35</v>
      </c>
      <c r="J49" s="11" t="s">
        <v>119</v>
      </c>
      <c r="K49" s="11" t="s">
        <v>248</v>
      </c>
      <c r="L49" s="11" t="s">
        <v>88</v>
      </c>
    </row>
    <row r="50" spans="1:12" ht="25.5" x14ac:dyDescent="0.25">
      <c r="A50" s="11" t="s">
        <v>249</v>
      </c>
      <c r="B50" s="11" t="s">
        <v>250</v>
      </c>
      <c r="C50" s="11" t="s">
        <v>251</v>
      </c>
      <c r="D50" s="11" t="s">
        <v>252</v>
      </c>
      <c r="E50" s="11" t="s">
        <v>185</v>
      </c>
      <c r="F50" s="11" t="s">
        <v>84</v>
      </c>
      <c r="G50" s="17">
        <v>8</v>
      </c>
      <c r="H50" s="18">
        <v>5</v>
      </c>
      <c r="I50" s="11" t="s">
        <v>31</v>
      </c>
      <c r="J50" s="11" t="s">
        <v>109</v>
      </c>
      <c r="K50" s="11" t="s">
        <v>253</v>
      </c>
      <c r="L50" s="11" t="s">
        <v>88</v>
      </c>
    </row>
    <row r="51" spans="1:12" x14ac:dyDescent="0.25">
      <c r="A51" s="11" t="s">
        <v>254</v>
      </c>
      <c r="B51" s="11" t="s">
        <v>250</v>
      </c>
      <c r="C51" s="11" t="s">
        <v>251</v>
      </c>
      <c r="D51" s="11" t="s">
        <v>255</v>
      </c>
      <c r="E51" s="11" t="s">
        <v>185</v>
      </c>
      <c r="F51" s="11" t="s">
        <v>84</v>
      </c>
      <c r="G51" s="17">
        <v>5</v>
      </c>
      <c r="H51" s="18">
        <v>5</v>
      </c>
      <c r="I51" s="11" t="s">
        <v>31</v>
      </c>
      <c r="J51" s="11" t="s">
        <v>86</v>
      </c>
      <c r="K51" s="11" t="s">
        <v>256</v>
      </c>
      <c r="L51" s="11" t="s">
        <v>88</v>
      </c>
    </row>
    <row r="52" spans="1:12" x14ac:dyDescent="0.25">
      <c r="A52" s="11" t="s">
        <v>257</v>
      </c>
      <c r="B52" s="11" t="s">
        <v>250</v>
      </c>
      <c r="C52" s="11" t="s">
        <v>251</v>
      </c>
      <c r="D52" s="11" t="s">
        <v>258</v>
      </c>
      <c r="E52" s="11" t="s">
        <v>124</v>
      </c>
      <c r="F52" s="11" t="s">
        <v>84</v>
      </c>
      <c r="G52" s="17">
        <v>8</v>
      </c>
      <c r="H52" s="18">
        <v>5</v>
      </c>
      <c r="I52" s="11" t="s">
        <v>35</v>
      </c>
      <c r="J52" s="11" t="s">
        <v>120</v>
      </c>
      <c r="K52" s="11" t="s">
        <v>259</v>
      </c>
      <c r="L52" s="11" t="s">
        <v>88</v>
      </c>
    </row>
    <row r="53" spans="1:12" x14ac:dyDescent="0.25">
      <c r="A53" s="11" t="s">
        <v>260</v>
      </c>
      <c r="B53" s="11" t="s">
        <v>250</v>
      </c>
      <c r="C53" s="11" t="s">
        <v>251</v>
      </c>
      <c r="D53" s="11" t="s">
        <v>261</v>
      </c>
      <c r="E53" s="11" t="s">
        <v>185</v>
      </c>
      <c r="F53" s="11" t="s">
        <v>84</v>
      </c>
      <c r="G53" s="17">
        <v>5</v>
      </c>
      <c r="H53" s="18">
        <v>5</v>
      </c>
      <c r="I53" s="11" t="s">
        <v>33</v>
      </c>
      <c r="J53" s="11" t="s">
        <v>86</v>
      </c>
      <c r="K53" s="11" t="s">
        <v>262</v>
      </c>
      <c r="L53" s="11" t="s">
        <v>88</v>
      </c>
    </row>
    <row r="54" spans="1:12" ht="25.5" x14ac:dyDescent="0.25">
      <c r="A54" s="11" t="s">
        <v>263</v>
      </c>
      <c r="B54" s="11" t="s">
        <v>171</v>
      </c>
      <c r="C54" s="11" t="s">
        <v>172</v>
      </c>
      <c r="D54" s="11" t="s">
        <v>264</v>
      </c>
      <c r="E54" s="11" t="s">
        <v>124</v>
      </c>
      <c r="F54" s="11" t="s">
        <v>84</v>
      </c>
      <c r="G54" s="17">
        <v>3</v>
      </c>
      <c r="H54" s="18">
        <v>5</v>
      </c>
      <c r="I54" s="11" t="s">
        <v>37</v>
      </c>
      <c r="J54" s="11" t="s">
        <v>119</v>
      </c>
      <c r="K54" s="11" t="s">
        <v>265</v>
      </c>
      <c r="L54" s="11" t="s">
        <v>88</v>
      </c>
    </row>
    <row r="55" spans="1:12" x14ac:dyDescent="0.25">
      <c r="A55" s="11" t="s">
        <v>266</v>
      </c>
      <c r="B55" s="11" t="s">
        <v>267</v>
      </c>
      <c r="C55" s="11" t="s">
        <v>268</v>
      </c>
      <c r="D55" s="11" t="s">
        <v>269</v>
      </c>
      <c r="E55" s="11" t="s">
        <v>124</v>
      </c>
      <c r="F55" s="11" t="s">
        <v>84</v>
      </c>
      <c r="G55" s="17">
        <v>8</v>
      </c>
      <c r="H55" s="18">
        <v>6</v>
      </c>
      <c r="I55" s="11" t="s">
        <v>31</v>
      </c>
      <c r="J55" s="11" t="s">
        <v>86</v>
      </c>
      <c r="K55" s="11" t="s">
        <v>270</v>
      </c>
      <c r="L55" s="11" t="s">
        <v>88</v>
      </c>
    </row>
    <row r="56" spans="1:12" ht="25.5" x14ac:dyDescent="0.25">
      <c r="A56" s="11" t="s">
        <v>271</v>
      </c>
      <c r="B56" s="11" t="s">
        <v>272</v>
      </c>
      <c r="C56" s="11" t="s">
        <v>273</v>
      </c>
      <c r="D56" s="11" t="s">
        <v>274</v>
      </c>
      <c r="E56" s="11" t="s">
        <v>185</v>
      </c>
      <c r="F56" s="11" t="s">
        <v>84</v>
      </c>
      <c r="G56" s="17">
        <v>8</v>
      </c>
      <c r="H56" s="18">
        <v>6</v>
      </c>
      <c r="I56" s="11" t="s">
        <v>31</v>
      </c>
      <c r="J56" s="11" t="s">
        <v>104</v>
      </c>
      <c r="K56" s="11" t="s">
        <v>275</v>
      </c>
      <c r="L56" s="11" t="s">
        <v>88</v>
      </c>
    </row>
    <row r="57" spans="1:12" x14ac:dyDescent="0.25">
      <c r="A57" s="11" t="s">
        <v>276</v>
      </c>
      <c r="B57" s="11" t="s">
        <v>272</v>
      </c>
      <c r="C57" s="11" t="s">
        <v>273</v>
      </c>
      <c r="D57" s="11" t="s">
        <v>277</v>
      </c>
      <c r="E57" s="11" t="s">
        <v>124</v>
      </c>
      <c r="F57" s="11" t="s">
        <v>84</v>
      </c>
      <c r="G57" s="17">
        <v>3</v>
      </c>
      <c r="H57" s="18">
        <v>6</v>
      </c>
      <c r="I57" s="11" t="s">
        <v>35</v>
      </c>
      <c r="J57" s="11" t="s">
        <v>104</v>
      </c>
      <c r="K57" s="11" t="s">
        <v>278</v>
      </c>
      <c r="L57" s="11" t="s">
        <v>88</v>
      </c>
    </row>
    <row r="58" spans="1:12" x14ac:dyDescent="0.25">
      <c r="A58" s="11" t="s">
        <v>279</v>
      </c>
      <c r="B58" s="11" t="s">
        <v>267</v>
      </c>
      <c r="C58" s="11" t="s">
        <v>268</v>
      </c>
      <c r="D58" s="11" t="s">
        <v>280</v>
      </c>
      <c r="E58" s="11" t="s">
        <v>185</v>
      </c>
      <c r="F58" s="11" t="s">
        <v>84</v>
      </c>
      <c r="G58" s="17">
        <v>8</v>
      </c>
      <c r="H58" s="18">
        <v>6</v>
      </c>
      <c r="I58" s="11" t="s">
        <v>33</v>
      </c>
      <c r="J58" s="11" t="s">
        <v>86</v>
      </c>
      <c r="K58" s="11" t="s">
        <v>281</v>
      </c>
      <c r="L58" s="11" t="s">
        <v>88</v>
      </c>
    </row>
    <row r="59" spans="1:12" x14ac:dyDescent="0.25">
      <c r="A59" s="11" t="s">
        <v>282</v>
      </c>
      <c r="B59" s="11" t="s">
        <v>272</v>
      </c>
      <c r="C59" s="11" t="s">
        <v>273</v>
      </c>
      <c r="D59" s="11" t="s">
        <v>283</v>
      </c>
      <c r="E59" s="11" t="s">
        <v>118</v>
      </c>
      <c r="F59" s="11" t="s">
        <v>84</v>
      </c>
      <c r="G59" s="17"/>
      <c r="H59" s="18">
        <v>6</v>
      </c>
      <c r="I59" s="11" t="s">
        <v>104</v>
      </c>
      <c r="J59" s="11" t="s">
        <v>104</v>
      </c>
      <c r="K59" s="11" t="s">
        <v>284</v>
      </c>
      <c r="L59" s="11" t="s">
        <v>88</v>
      </c>
    </row>
    <row r="60" spans="1:12" ht="25.5" x14ac:dyDescent="0.25">
      <c r="A60" s="11" t="s">
        <v>285</v>
      </c>
      <c r="B60" s="11" t="s">
        <v>267</v>
      </c>
      <c r="C60" s="11" t="s">
        <v>268</v>
      </c>
      <c r="D60" s="11" t="s">
        <v>286</v>
      </c>
      <c r="E60" s="11" t="s">
        <v>185</v>
      </c>
      <c r="F60" s="11" t="s">
        <v>84</v>
      </c>
      <c r="G60" s="17">
        <v>5</v>
      </c>
      <c r="H60" s="18">
        <v>7</v>
      </c>
      <c r="I60" s="11" t="s">
        <v>31</v>
      </c>
      <c r="J60" s="11" t="s">
        <v>86</v>
      </c>
      <c r="K60" s="11" t="s">
        <v>287</v>
      </c>
      <c r="L60" s="11" t="s">
        <v>88</v>
      </c>
    </row>
    <row r="61" spans="1:12" x14ac:dyDescent="0.25">
      <c r="A61" s="11" t="s">
        <v>288</v>
      </c>
      <c r="B61" s="11" t="s">
        <v>272</v>
      </c>
      <c r="C61" s="11" t="s">
        <v>273</v>
      </c>
      <c r="D61" s="11" t="s">
        <v>289</v>
      </c>
      <c r="E61" s="11" t="s">
        <v>185</v>
      </c>
      <c r="F61" s="11" t="s">
        <v>84</v>
      </c>
      <c r="G61" s="17">
        <v>5</v>
      </c>
      <c r="H61" s="18">
        <v>7</v>
      </c>
      <c r="I61" s="11" t="s">
        <v>31</v>
      </c>
      <c r="J61" s="11" t="s">
        <v>86</v>
      </c>
      <c r="K61" s="11" t="s">
        <v>290</v>
      </c>
      <c r="L61" s="11" t="s">
        <v>88</v>
      </c>
    </row>
    <row r="62" spans="1:12" x14ac:dyDescent="0.25">
      <c r="A62" s="11" t="s">
        <v>291</v>
      </c>
      <c r="B62" s="11" t="s">
        <v>272</v>
      </c>
      <c r="C62" s="11" t="s">
        <v>273</v>
      </c>
      <c r="D62" s="11" t="s">
        <v>292</v>
      </c>
      <c r="E62" s="11" t="s">
        <v>185</v>
      </c>
      <c r="F62" s="11" t="s">
        <v>201</v>
      </c>
      <c r="G62" s="17">
        <v>5</v>
      </c>
      <c r="H62" s="18">
        <v>7</v>
      </c>
      <c r="I62" s="11" t="s">
        <v>35</v>
      </c>
      <c r="J62" s="11" t="s">
        <v>86</v>
      </c>
      <c r="K62" s="11" t="s">
        <v>293</v>
      </c>
      <c r="L62" s="11" t="s">
        <v>88</v>
      </c>
    </row>
    <row r="63" spans="1:12" x14ac:dyDescent="0.25">
      <c r="A63" s="11" t="s">
        <v>294</v>
      </c>
      <c r="B63" s="11" t="s">
        <v>295</v>
      </c>
      <c r="C63" s="11" t="s">
        <v>296</v>
      </c>
      <c r="D63" s="11" t="s">
        <v>297</v>
      </c>
      <c r="E63" s="11" t="s">
        <v>185</v>
      </c>
      <c r="F63" s="11" t="s">
        <v>84</v>
      </c>
      <c r="G63" s="17">
        <v>8</v>
      </c>
      <c r="H63" s="18">
        <v>7</v>
      </c>
      <c r="I63" s="11" t="s">
        <v>31</v>
      </c>
      <c r="J63" s="11" t="s">
        <v>104</v>
      </c>
      <c r="K63" s="11" t="s">
        <v>298</v>
      </c>
      <c r="L63" s="11" t="s">
        <v>88</v>
      </c>
    </row>
    <row r="64" spans="1:12" x14ac:dyDescent="0.25">
      <c r="A64" s="11" t="s">
        <v>299</v>
      </c>
      <c r="B64" s="11" t="s">
        <v>295</v>
      </c>
      <c r="C64" s="11" t="s">
        <v>296</v>
      </c>
      <c r="D64" s="11" t="s">
        <v>300</v>
      </c>
      <c r="E64" s="11" t="s">
        <v>185</v>
      </c>
      <c r="F64" s="11" t="s">
        <v>84</v>
      </c>
      <c r="G64" s="17">
        <v>3</v>
      </c>
      <c r="H64" s="18">
        <v>7</v>
      </c>
      <c r="I64" s="11" t="s">
        <v>35</v>
      </c>
      <c r="J64" s="11" t="s">
        <v>86</v>
      </c>
      <c r="K64" s="11" t="s">
        <v>301</v>
      </c>
      <c r="L64" s="11" t="s">
        <v>88</v>
      </c>
    </row>
    <row r="65" spans="1:12" x14ac:dyDescent="0.25">
      <c r="A65" s="11" t="s">
        <v>302</v>
      </c>
      <c r="B65" s="11" t="s">
        <v>295</v>
      </c>
      <c r="C65" s="11" t="s">
        <v>296</v>
      </c>
      <c r="D65" s="11" t="s">
        <v>303</v>
      </c>
      <c r="E65" s="11" t="s">
        <v>185</v>
      </c>
      <c r="F65" s="11" t="s">
        <v>84</v>
      </c>
      <c r="G65" s="17">
        <v>5</v>
      </c>
      <c r="H65" s="18">
        <v>7</v>
      </c>
      <c r="I65" s="11" t="s">
        <v>33</v>
      </c>
      <c r="J65" s="11" t="s">
        <v>86</v>
      </c>
      <c r="K65" s="11" t="s">
        <v>304</v>
      </c>
      <c r="L65" s="11" t="s">
        <v>88</v>
      </c>
    </row>
    <row r="66" spans="1:12" x14ac:dyDescent="0.25">
      <c r="A66" s="11" t="s">
        <v>305</v>
      </c>
      <c r="B66" s="11" t="s">
        <v>267</v>
      </c>
      <c r="C66" s="11" t="s">
        <v>268</v>
      </c>
      <c r="D66" s="11" t="s">
        <v>306</v>
      </c>
      <c r="E66" s="11" t="s">
        <v>185</v>
      </c>
      <c r="F66" s="11" t="s">
        <v>84</v>
      </c>
      <c r="G66" s="17">
        <v>5</v>
      </c>
      <c r="H66" s="18">
        <v>7</v>
      </c>
      <c r="I66" s="11" t="s">
        <v>33</v>
      </c>
      <c r="J66" s="11" t="s">
        <v>86</v>
      </c>
      <c r="K66" s="11" t="s">
        <v>307</v>
      </c>
      <c r="L66" s="11" t="s">
        <v>88</v>
      </c>
    </row>
    <row r="67" spans="1:12" x14ac:dyDescent="0.25">
      <c r="A67" s="11" t="s">
        <v>308</v>
      </c>
      <c r="B67" s="11" t="s">
        <v>245</v>
      </c>
      <c r="C67" s="11" t="s">
        <v>246</v>
      </c>
      <c r="D67" s="11" t="s">
        <v>309</v>
      </c>
      <c r="E67" s="11" t="s">
        <v>185</v>
      </c>
      <c r="F67" s="11" t="s">
        <v>201</v>
      </c>
      <c r="G67" s="17">
        <v>8</v>
      </c>
      <c r="H67" s="18">
        <v>8</v>
      </c>
      <c r="I67" s="11" t="s">
        <v>31</v>
      </c>
      <c r="J67" s="11" t="s">
        <v>104</v>
      </c>
      <c r="K67" s="11" t="s">
        <v>310</v>
      </c>
      <c r="L67" s="11" t="s">
        <v>88</v>
      </c>
    </row>
    <row r="68" spans="1:12" x14ac:dyDescent="0.25">
      <c r="A68" s="11" t="s">
        <v>311</v>
      </c>
      <c r="B68" s="11" t="s">
        <v>245</v>
      </c>
      <c r="C68" s="11" t="s">
        <v>246</v>
      </c>
      <c r="D68" s="11" t="s">
        <v>312</v>
      </c>
      <c r="E68" s="11" t="s">
        <v>185</v>
      </c>
      <c r="F68" s="11" t="s">
        <v>84</v>
      </c>
      <c r="G68" s="17">
        <v>5</v>
      </c>
      <c r="H68" s="18">
        <v>8</v>
      </c>
      <c r="I68" s="11" t="s">
        <v>35</v>
      </c>
      <c r="J68" s="11" t="s">
        <v>86</v>
      </c>
      <c r="K68" s="11" t="s">
        <v>313</v>
      </c>
      <c r="L68" s="11" t="s">
        <v>88</v>
      </c>
    </row>
    <row r="69" spans="1:12" x14ac:dyDescent="0.25">
      <c r="A69" s="11" t="s">
        <v>314</v>
      </c>
      <c r="B69" s="11" t="s">
        <v>245</v>
      </c>
      <c r="C69" s="11" t="s">
        <v>246</v>
      </c>
      <c r="D69" s="11" t="s">
        <v>315</v>
      </c>
      <c r="E69" s="11" t="s">
        <v>185</v>
      </c>
      <c r="F69" s="11" t="s">
        <v>201</v>
      </c>
      <c r="G69" s="17">
        <v>3</v>
      </c>
      <c r="H69" s="18">
        <v>8</v>
      </c>
      <c r="I69" s="11" t="s">
        <v>33</v>
      </c>
      <c r="J69" s="11" t="s">
        <v>86</v>
      </c>
      <c r="K69" s="11" t="s">
        <v>316</v>
      </c>
      <c r="L69" s="11" t="s">
        <v>88</v>
      </c>
    </row>
    <row r="70" spans="1:12" ht="25.5" x14ac:dyDescent="0.25">
      <c r="A70" s="11" t="s">
        <v>317</v>
      </c>
      <c r="B70" s="11" t="s">
        <v>272</v>
      </c>
      <c r="C70" s="11" t="s">
        <v>273</v>
      </c>
      <c r="D70" s="11" t="s">
        <v>318</v>
      </c>
      <c r="E70" s="11" t="s">
        <v>185</v>
      </c>
      <c r="F70" s="11" t="s">
        <v>201</v>
      </c>
      <c r="G70" s="17">
        <v>5</v>
      </c>
      <c r="H70" s="18">
        <v>8</v>
      </c>
      <c r="I70" s="11" t="s">
        <v>31</v>
      </c>
      <c r="J70" s="11" t="s">
        <v>104</v>
      </c>
      <c r="K70" s="11" t="s">
        <v>319</v>
      </c>
      <c r="L70" s="11" t="s">
        <v>88</v>
      </c>
    </row>
    <row r="71" spans="1:12" ht="25.5" x14ac:dyDescent="0.25">
      <c r="A71" s="11" t="s">
        <v>320</v>
      </c>
      <c r="B71" s="11" t="s">
        <v>171</v>
      </c>
      <c r="C71" s="11" t="s">
        <v>172</v>
      </c>
      <c r="D71" s="11" t="s">
        <v>321</v>
      </c>
      <c r="E71" s="11" t="s">
        <v>124</v>
      </c>
      <c r="F71" s="11" t="s">
        <v>84</v>
      </c>
      <c r="G71" s="17">
        <v>8</v>
      </c>
      <c r="H71" s="18">
        <v>8</v>
      </c>
      <c r="I71" s="11" t="s">
        <v>37</v>
      </c>
      <c r="J71" s="11" t="s">
        <v>86</v>
      </c>
      <c r="K71" s="11" t="s">
        <v>322</v>
      </c>
      <c r="L71" s="11" t="s">
        <v>88</v>
      </c>
    </row>
    <row r="72" spans="1:12" x14ac:dyDescent="0.25">
      <c r="A72" s="11" t="s">
        <v>323</v>
      </c>
      <c r="B72" s="11" t="s">
        <v>295</v>
      </c>
      <c r="C72" s="11" t="s">
        <v>296</v>
      </c>
      <c r="D72" s="11" t="s">
        <v>324</v>
      </c>
      <c r="E72" s="11" t="s">
        <v>185</v>
      </c>
      <c r="F72" s="11" t="s">
        <v>325</v>
      </c>
      <c r="G72" s="17">
        <v>5</v>
      </c>
      <c r="H72" s="18">
        <v>8</v>
      </c>
      <c r="I72" s="11" t="s">
        <v>33</v>
      </c>
      <c r="J72" s="11" t="s">
        <v>86</v>
      </c>
      <c r="K72" s="11" t="s">
        <v>326</v>
      </c>
      <c r="L72" s="11" t="s">
        <v>88</v>
      </c>
    </row>
    <row r="73" spans="1:12" x14ac:dyDescent="0.25">
      <c r="A73" s="11" t="s">
        <v>327</v>
      </c>
      <c r="B73" s="11" t="s">
        <v>328</v>
      </c>
      <c r="C73" s="11" t="s">
        <v>329</v>
      </c>
      <c r="D73" s="11" t="s">
        <v>330</v>
      </c>
      <c r="E73" s="11" t="s">
        <v>185</v>
      </c>
      <c r="F73" s="11" t="s">
        <v>84</v>
      </c>
      <c r="G73" s="17">
        <v>8</v>
      </c>
      <c r="H73" s="18">
        <v>9</v>
      </c>
      <c r="I73" s="11" t="s">
        <v>31</v>
      </c>
      <c r="J73" s="11" t="s">
        <v>86</v>
      </c>
      <c r="K73" s="11" t="s">
        <v>331</v>
      </c>
      <c r="L73" s="11" t="s">
        <v>88</v>
      </c>
    </row>
    <row r="74" spans="1:12" x14ac:dyDescent="0.25">
      <c r="A74" s="11" t="s">
        <v>332</v>
      </c>
      <c r="B74" s="11" t="s">
        <v>328</v>
      </c>
      <c r="C74" s="11" t="s">
        <v>329</v>
      </c>
      <c r="D74" s="11" t="s">
        <v>333</v>
      </c>
      <c r="E74" s="11" t="s">
        <v>185</v>
      </c>
      <c r="F74" s="11" t="s">
        <v>84</v>
      </c>
      <c r="G74" s="17">
        <v>8</v>
      </c>
      <c r="H74" s="18">
        <v>9</v>
      </c>
      <c r="I74" s="11" t="s">
        <v>33</v>
      </c>
      <c r="J74" s="11" t="s">
        <v>86</v>
      </c>
      <c r="K74" s="11" t="s">
        <v>334</v>
      </c>
      <c r="L74" s="11" t="s">
        <v>88</v>
      </c>
    </row>
    <row r="75" spans="1:12" ht="25.5" x14ac:dyDescent="0.25">
      <c r="A75" s="11" t="s">
        <v>335</v>
      </c>
      <c r="B75" s="11" t="s">
        <v>328</v>
      </c>
      <c r="C75" s="11" t="s">
        <v>329</v>
      </c>
      <c r="D75" s="11" t="s">
        <v>336</v>
      </c>
      <c r="E75" s="11" t="s">
        <v>185</v>
      </c>
      <c r="F75" s="11" t="s">
        <v>84</v>
      </c>
      <c r="G75" s="17">
        <v>8</v>
      </c>
      <c r="H75" s="18">
        <v>9</v>
      </c>
      <c r="I75" s="11" t="s">
        <v>33</v>
      </c>
      <c r="J75" s="11" t="s">
        <v>86</v>
      </c>
      <c r="K75" s="11" t="s">
        <v>337</v>
      </c>
      <c r="L75" s="11" t="s">
        <v>88</v>
      </c>
    </row>
    <row r="76" spans="1:12" x14ac:dyDescent="0.25">
      <c r="A76" s="11" t="s">
        <v>338</v>
      </c>
      <c r="B76" s="11" t="s">
        <v>328</v>
      </c>
      <c r="C76" s="11" t="s">
        <v>329</v>
      </c>
      <c r="D76" s="11" t="s">
        <v>339</v>
      </c>
      <c r="E76" s="11" t="s">
        <v>185</v>
      </c>
      <c r="F76" s="11" t="s">
        <v>84</v>
      </c>
      <c r="G76" s="17">
        <v>5</v>
      </c>
      <c r="H76" s="18">
        <v>9</v>
      </c>
      <c r="I76" s="11" t="s">
        <v>31</v>
      </c>
      <c r="J76" s="11" t="s">
        <v>86</v>
      </c>
      <c r="K76" s="11" t="s">
        <v>340</v>
      </c>
      <c r="L76" s="11" t="s">
        <v>88</v>
      </c>
    </row>
    <row r="77" spans="1:12" x14ac:dyDescent="0.25">
      <c r="A77" s="11" t="s">
        <v>341</v>
      </c>
      <c r="B77" s="11" t="s">
        <v>328</v>
      </c>
      <c r="C77" s="11" t="s">
        <v>329</v>
      </c>
      <c r="D77" s="11" t="s">
        <v>342</v>
      </c>
      <c r="E77" s="11" t="s">
        <v>185</v>
      </c>
      <c r="F77" s="11" t="s">
        <v>201</v>
      </c>
      <c r="G77" s="17">
        <v>5</v>
      </c>
      <c r="H77" s="18">
        <v>9</v>
      </c>
      <c r="I77" s="11" t="s">
        <v>35</v>
      </c>
      <c r="J77" s="11" t="s">
        <v>86</v>
      </c>
      <c r="K77" s="11" t="s">
        <v>343</v>
      </c>
      <c r="L77" s="11" t="s">
        <v>88</v>
      </c>
    </row>
    <row r="78" spans="1:12" ht="25.5" x14ac:dyDescent="0.25">
      <c r="A78" s="11" t="s">
        <v>344</v>
      </c>
      <c r="B78" s="11" t="s">
        <v>171</v>
      </c>
      <c r="C78" s="11" t="s">
        <v>172</v>
      </c>
      <c r="D78" s="11" t="s">
        <v>345</v>
      </c>
      <c r="E78" s="11" t="s">
        <v>124</v>
      </c>
      <c r="F78" s="11" t="s">
        <v>84</v>
      </c>
      <c r="G78" s="17">
        <v>3</v>
      </c>
      <c r="H78" s="18">
        <v>9</v>
      </c>
      <c r="I78" s="11" t="s">
        <v>37</v>
      </c>
      <c r="J78" s="11" t="s">
        <v>86</v>
      </c>
      <c r="K78" s="11" t="s">
        <v>346</v>
      </c>
      <c r="L78" s="11" t="s">
        <v>88</v>
      </c>
    </row>
    <row r="79" spans="1:12" ht="25.5" x14ac:dyDescent="0.25">
      <c r="A79" s="11" t="s">
        <v>347</v>
      </c>
      <c r="B79" s="11" t="s">
        <v>348</v>
      </c>
      <c r="C79" s="11" t="s">
        <v>349</v>
      </c>
      <c r="D79" s="11" t="s">
        <v>350</v>
      </c>
      <c r="E79" s="11" t="s">
        <v>185</v>
      </c>
      <c r="F79" s="11" t="s">
        <v>84</v>
      </c>
      <c r="G79" s="17">
        <v>8</v>
      </c>
      <c r="H79" s="18">
        <v>10</v>
      </c>
      <c r="I79" s="11" t="s">
        <v>33</v>
      </c>
      <c r="J79" s="11" t="s">
        <v>86</v>
      </c>
      <c r="K79" s="11" t="s">
        <v>351</v>
      </c>
      <c r="L79" s="11" t="s">
        <v>88</v>
      </c>
    </row>
    <row r="80" spans="1:12" x14ac:dyDescent="0.25">
      <c r="A80" s="11" t="s">
        <v>352</v>
      </c>
      <c r="B80" s="11" t="s">
        <v>348</v>
      </c>
      <c r="C80" s="11" t="s">
        <v>349</v>
      </c>
      <c r="D80" s="11" t="s">
        <v>353</v>
      </c>
      <c r="E80" s="11" t="s">
        <v>185</v>
      </c>
      <c r="F80" s="11" t="s">
        <v>84</v>
      </c>
      <c r="G80" s="17">
        <v>5</v>
      </c>
      <c r="H80" s="18">
        <v>10</v>
      </c>
      <c r="I80" s="11" t="s">
        <v>31</v>
      </c>
      <c r="J80" s="11" t="s">
        <v>86</v>
      </c>
      <c r="K80" s="11" t="s">
        <v>354</v>
      </c>
      <c r="L80" s="11" t="s">
        <v>88</v>
      </c>
    </row>
    <row r="81" spans="1:12" x14ac:dyDescent="0.25">
      <c r="A81" s="11" t="s">
        <v>355</v>
      </c>
      <c r="B81" s="11" t="s">
        <v>348</v>
      </c>
      <c r="C81" s="11" t="s">
        <v>349</v>
      </c>
      <c r="D81" s="11" t="s">
        <v>356</v>
      </c>
      <c r="E81" s="11" t="s">
        <v>124</v>
      </c>
      <c r="F81" s="11" t="s">
        <v>84</v>
      </c>
      <c r="G81" s="17">
        <v>5</v>
      </c>
      <c r="H81" s="18">
        <v>10</v>
      </c>
      <c r="I81" s="11" t="s">
        <v>31</v>
      </c>
      <c r="J81" s="11" t="s">
        <v>104</v>
      </c>
      <c r="K81" s="11" t="s">
        <v>357</v>
      </c>
      <c r="L81" s="11" t="s">
        <v>88</v>
      </c>
    </row>
    <row r="82" spans="1:12" x14ac:dyDescent="0.25">
      <c r="A82" s="11" t="s">
        <v>358</v>
      </c>
      <c r="B82" s="11" t="s">
        <v>348</v>
      </c>
      <c r="C82" s="11" t="s">
        <v>349</v>
      </c>
      <c r="D82" s="11" t="s">
        <v>359</v>
      </c>
      <c r="E82" s="11" t="s">
        <v>185</v>
      </c>
      <c r="F82" s="11" t="s">
        <v>201</v>
      </c>
      <c r="G82" s="17">
        <v>5</v>
      </c>
      <c r="H82" s="18">
        <v>10</v>
      </c>
      <c r="I82" s="11" t="s">
        <v>33</v>
      </c>
      <c r="J82" s="11" t="s">
        <v>86</v>
      </c>
      <c r="K82" s="11" t="s">
        <v>360</v>
      </c>
      <c r="L82" s="11" t="s">
        <v>88</v>
      </c>
    </row>
    <row r="83" spans="1:12" x14ac:dyDescent="0.25">
      <c r="A83" s="11" t="s">
        <v>361</v>
      </c>
      <c r="B83" s="11" t="s">
        <v>348</v>
      </c>
      <c r="C83" s="11" t="s">
        <v>349</v>
      </c>
      <c r="D83" s="11" t="s">
        <v>362</v>
      </c>
      <c r="E83" s="11" t="s">
        <v>185</v>
      </c>
      <c r="F83" s="11" t="s">
        <v>201</v>
      </c>
      <c r="G83" s="17">
        <v>5</v>
      </c>
      <c r="H83" s="18">
        <v>10</v>
      </c>
      <c r="I83" s="11" t="s">
        <v>35</v>
      </c>
      <c r="J83" s="11" t="s">
        <v>86</v>
      </c>
      <c r="K83" s="11" t="s">
        <v>363</v>
      </c>
      <c r="L83" s="11" t="s">
        <v>88</v>
      </c>
    </row>
    <row r="84" spans="1:12" x14ac:dyDescent="0.25">
      <c r="A84" s="11" t="s">
        <v>364</v>
      </c>
      <c r="B84" s="11" t="s">
        <v>348</v>
      </c>
      <c r="C84" s="11" t="s">
        <v>349</v>
      </c>
      <c r="D84" s="11" t="s">
        <v>365</v>
      </c>
      <c r="E84" s="11" t="s">
        <v>124</v>
      </c>
      <c r="F84" s="11" t="s">
        <v>201</v>
      </c>
      <c r="G84" s="17">
        <v>5</v>
      </c>
      <c r="H84" s="18">
        <v>10</v>
      </c>
      <c r="I84" s="11" t="s">
        <v>31</v>
      </c>
      <c r="J84" s="11" t="s">
        <v>119</v>
      </c>
      <c r="K84" s="11" t="s">
        <v>366</v>
      </c>
      <c r="L84" s="11" t="s">
        <v>88</v>
      </c>
    </row>
    <row r="85" spans="1:12" ht="25.5" x14ac:dyDescent="0.25">
      <c r="A85" s="11" t="s">
        <v>367</v>
      </c>
      <c r="B85" s="11" t="s">
        <v>115</v>
      </c>
      <c r="C85" s="11" t="s">
        <v>116</v>
      </c>
      <c r="D85" s="11" t="s">
        <v>368</v>
      </c>
      <c r="E85" s="11" t="s">
        <v>124</v>
      </c>
      <c r="F85" s="11" t="s">
        <v>84</v>
      </c>
      <c r="G85" s="17">
        <v>3</v>
      </c>
      <c r="H85" s="18">
        <v>10</v>
      </c>
      <c r="I85" s="11" t="s">
        <v>35</v>
      </c>
      <c r="J85" s="11" t="s">
        <v>119</v>
      </c>
      <c r="K85" s="11" t="s">
        <v>369</v>
      </c>
      <c r="L85" s="11" t="s">
        <v>88</v>
      </c>
    </row>
    <row r="86" spans="1:12" ht="25.5" x14ac:dyDescent="0.25">
      <c r="A86" s="11" t="s">
        <v>370</v>
      </c>
      <c r="B86" s="11" t="s">
        <v>171</v>
      </c>
      <c r="C86" s="11" t="s">
        <v>172</v>
      </c>
      <c r="D86" s="11" t="s">
        <v>371</v>
      </c>
      <c r="E86" s="11" t="s">
        <v>124</v>
      </c>
      <c r="F86" s="11" t="s">
        <v>84</v>
      </c>
      <c r="G86" s="17">
        <v>8</v>
      </c>
      <c r="H86" s="18">
        <v>11</v>
      </c>
      <c r="I86" s="11" t="s">
        <v>37</v>
      </c>
      <c r="J86" s="11" t="s">
        <v>372</v>
      </c>
      <c r="K86" s="11" t="s">
        <v>373</v>
      </c>
      <c r="L86" s="11" t="s">
        <v>88</v>
      </c>
    </row>
    <row r="87" spans="1:12" ht="25.5" x14ac:dyDescent="0.25">
      <c r="A87" s="11" t="s">
        <v>374</v>
      </c>
      <c r="B87" s="11" t="s">
        <v>171</v>
      </c>
      <c r="C87" s="11" t="s">
        <v>172</v>
      </c>
      <c r="D87" s="11" t="s">
        <v>375</v>
      </c>
      <c r="E87" s="11" t="s">
        <v>124</v>
      </c>
      <c r="F87" s="11" t="s">
        <v>84</v>
      </c>
      <c r="G87" s="17">
        <v>5</v>
      </c>
      <c r="H87" s="18">
        <v>11</v>
      </c>
      <c r="I87" s="11" t="s">
        <v>31</v>
      </c>
      <c r="J87" s="11" t="s">
        <v>109</v>
      </c>
      <c r="K87" s="11" t="s">
        <v>376</v>
      </c>
      <c r="L87" s="11" t="s">
        <v>88</v>
      </c>
    </row>
    <row r="88" spans="1:12" ht="25.5" x14ac:dyDescent="0.25">
      <c r="A88" s="11" t="s">
        <v>377</v>
      </c>
      <c r="B88" s="11" t="s">
        <v>171</v>
      </c>
      <c r="C88" s="11" t="s">
        <v>172</v>
      </c>
      <c r="D88" s="11" t="s">
        <v>378</v>
      </c>
      <c r="E88" s="11" t="s">
        <v>118</v>
      </c>
      <c r="F88" s="11" t="s">
        <v>84</v>
      </c>
      <c r="G88" s="17"/>
      <c r="H88" s="18">
        <v>11</v>
      </c>
      <c r="I88" s="11" t="s">
        <v>104</v>
      </c>
      <c r="J88" s="11" t="s">
        <v>104</v>
      </c>
      <c r="K88" s="11" t="s">
        <v>379</v>
      </c>
      <c r="L88" s="11" t="s">
        <v>88</v>
      </c>
    </row>
    <row r="89" spans="1:12" ht="25.5" x14ac:dyDescent="0.25">
      <c r="A89" s="11" t="s">
        <v>380</v>
      </c>
      <c r="B89" s="11" t="s">
        <v>171</v>
      </c>
      <c r="C89" s="11" t="s">
        <v>172</v>
      </c>
      <c r="D89" s="11" t="s">
        <v>381</v>
      </c>
      <c r="E89" s="11" t="s">
        <v>124</v>
      </c>
      <c r="F89" s="11" t="s">
        <v>84</v>
      </c>
      <c r="G89" s="17">
        <v>5</v>
      </c>
      <c r="H89" s="18">
        <v>11</v>
      </c>
      <c r="I89" s="11" t="s">
        <v>31</v>
      </c>
      <c r="J89" s="11" t="s">
        <v>104</v>
      </c>
      <c r="K89" s="11" t="s">
        <v>382</v>
      </c>
      <c r="L89" s="11" t="s">
        <v>88</v>
      </c>
    </row>
    <row r="90" spans="1:12" ht="25.5" x14ac:dyDescent="0.25">
      <c r="A90" s="11" t="s">
        <v>383</v>
      </c>
      <c r="B90" s="11" t="s">
        <v>171</v>
      </c>
      <c r="C90" s="11" t="s">
        <v>172</v>
      </c>
      <c r="D90" s="11" t="s">
        <v>384</v>
      </c>
      <c r="E90" s="11" t="s">
        <v>124</v>
      </c>
      <c r="F90" s="11" t="s">
        <v>84</v>
      </c>
      <c r="G90" s="17">
        <v>3</v>
      </c>
      <c r="H90" s="18">
        <v>11</v>
      </c>
      <c r="I90" s="11" t="s">
        <v>35</v>
      </c>
      <c r="J90" s="11" t="s">
        <v>372</v>
      </c>
      <c r="K90" s="11" t="s">
        <v>385</v>
      </c>
      <c r="L90" s="11" t="s">
        <v>88</v>
      </c>
    </row>
    <row r="91" spans="1:12" ht="25.5" x14ac:dyDescent="0.25">
      <c r="A91" s="11" t="s">
        <v>386</v>
      </c>
      <c r="B91" s="11" t="s">
        <v>171</v>
      </c>
      <c r="C91" s="11" t="s">
        <v>172</v>
      </c>
      <c r="D91" s="11" t="s">
        <v>387</v>
      </c>
      <c r="E91" s="11" t="s">
        <v>185</v>
      </c>
      <c r="F91" s="11" t="s">
        <v>201</v>
      </c>
      <c r="G91" s="17">
        <v>5</v>
      </c>
      <c r="H91" s="18">
        <v>11</v>
      </c>
      <c r="I91" s="11" t="s">
        <v>33</v>
      </c>
      <c r="J91" s="11" t="s">
        <v>86</v>
      </c>
      <c r="K91" s="11" t="s">
        <v>388</v>
      </c>
      <c r="L91" s="11" t="s">
        <v>88</v>
      </c>
    </row>
    <row r="92" spans="1:12" ht="25.5" x14ac:dyDescent="0.25">
      <c r="A92" s="11" t="s">
        <v>389</v>
      </c>
      <c r="B92" s="11" t="s">
        <v>171</v>
      </c>
      <c r="C92" s="11" t="s">
        <v>172</v>
      </c>
      <c r="D92" s="11" t="s">
        <v>390</v>
      </c>
      <c r="E92" s="11" t="s">
        <v>124</v>
      </c>
      <c r="F92" s="11" t="s">
        <v>84</v>
      </c>
      <c r="G92" s="17">
        <v>8</v>
      </c>
      <c r="H92" s="18">
        <v>11</v>
      </c>
      <c r="I92" s="11" t="s">
        <v>21</v>
      </c>
      <c r="J92" s="11" t="s">
        <v>86</v>
      </c>
      <c r="K92" s="11" t="s">
        <v>391</v>
      </c>
      <c r="L92" s="11" t="s">
        <v>88</v>
      </c>
    </row>
    <row r="93" spans="1:12" x14ac:dyDescent="0.25">
      <c r="A93" s="11" t="s">
        <v>392</v>
      </c>
      <c r="B93" s="11" t="s">
        <v>393</v>
      </c>
      <c r="C93" s="11" t="s">
        <v>394</v>
      </c>
      <c r="D93" s="11" t="s">
        <v>395</v>
      </c>
      <c r="E93" s="11" t="s">
        <v>118</v>
      </c>
      <c r="F93" s="11" t="s">
        <v>84</v>
      </c>
      <c r="G93" s="17"/>
      <c r="H93" s="18">
        <v>12</v>
      </c>
      <c r="I93" s="11" t="s">
        <v>119</v>
      </c>
      <c r="J93" s="11" t="s">
        <v>120</v>
      </c>
      <c r="K93" s="11" t="s">
        <v>396</v>
      </c>
      <c r="L93" s="11" t="s">
        <v>88</v>
      </c>
    </row>
    <row r="94" spans="1:12" x14ac:dyDescent="0.25">
      <c r="A94" s="11" t="s">
        <v>397</v>
      </c>
      <c r="B94" s="11" t="s">
        <v>393</v>
      </c>
      <c r="C94" s="11" t="s">
        <v>394</v>
      </c>
      <c r="D94" s="11" t="s">
        <v>398</v>
      </c>
      <c r="E94" s="11" t="s">
        <v>124</v>
      </c>
      <c r="F94" s="11" t="s">
        <v>84</v>
      </c>
      <c r="G94" s="17">
        <v>3</v>
      </c>
      <c r="H94" s="18">
        <v>12</v>
      </c>
      <c r="I94" s="11" t="s">
        <v>35</v>
      </c>
      <c r="J94" s="11" t="s">
        <v>119</v>
      </c>
      <c r="K94" s="11" t="s">
        <v>399</v>
      </c>
      <c r="L94" s="11" t="s">
        <v>88</v>
      </c>
    </row>
    <row r="95" spans="1:12" x14ac:dyDescent="0.25">
      <c r="A95" s="11" t="s">
        <v>400</v>
      </c>
      <c r="B95" s="11" t="s">
        <v>393</v>
      </c>
      <c r="C95" s="11" t="s">
        <v>394</v>
      </c>
      <c r="D95" s="11" t="s">
        <v>401</v>
      </c>
      <c r="E95" s="11" t="s">
        <v>124</v>
      </c>
      <c r="F95" s="11" t="s">
        <v>84</v>
      </c>
      <c r="G95" s="17">
        <v>5</v>
      </c>
      <c r="H95" s="18">
        <v>12</v>
      </c>
      <c r="I95" s="11" t="s">
        <v>37</v>
      </c>
      <c r="J95" s="11" t="s">
        <v>86</v>
      </c>
      <c r="K95" s="11" t="s">
        <v>402</v>
      </c>
      <c r="L95" s="11" t="s">
        <v>88</v>
      </c>
    </row>
    <row r="96" spans="1:12" x14ac:dyDescent="0.25">
      <c r="A96" s="11" t="s">
        <v>403</v>
      </c>
      <c r="B96" s="11" t="s">
        <v>393</v>
      </c>
      <c r="C96" s="11" t="s">
        <v>394</v>
      </c>
      <c r="D96" s="11" t="s">
        <v>404</v>
      </c>
      <c r="E96" s="11" t="s">
        <v>124</v>
      </c>
      <c r="F96" s="11" t="s">
        <v>84</v>
      </c>
      <c r="G96" s="17">
        <v>3</v>
      </c>
      <c r="H96" s="18">
        <v>12</v>
      </c>
      <c r="I96" s="11" t="s">
        <v>31</v>
      </c>
      <c r="J96" s="11" t="s">
        <v>109</v>
      </c>
      <c r="K96" s="11" t="s">
        <v>405</v>
      </c>
      <c r="L96" s="11" t="s">
        <v>88</v>
      </c>
    </row>
    <row r="97" spans="1:12" x14ac:dyDescent="0.25">
      <c r="A97" s="11" t="s">
        <v>406</v>
      </c>
      <c r="B97" s="11" t="s">
        <v>393</v>
      </c>
      <c r="C97" s="11" t="s">
        <v>394</v>
      </c>
      <c r="D97" s="11" t="s">
        <v>407</v>
      </c>
      <c r="E97" s="11" t="s">
        <v>124</v>
      </c>
      <c r="F97" s="11" t="s">
        <v>84</v>
      </c>
      <c r="G97" s="17">
        <v>8</v>
      </c>
      <c r="H97" s="18">
        <v>12</v>
      </c>
      <c r="I97" s="11" t="s">
        <v>21</v>
      </c>
      <c r="J97" s="11" t="s">
        <v>86</v>
      </c>
      <c r="K97" s="11" t="s">
        <v>408</v>
      </c>
      <c r="L97" s="11" t="s">
        <v>88</v>
      </c>
    </row>
    <row r="98" spans="1:12" x14ac:dyDescent="0.25">
      <c r="A98" s="11" t="s">
        <v>409</v>
      </c>
      <c r="B98" s="11" t="s">
        <v>393</v>
      </c>
      <c r="C98" s="11" t="s">
        <v>394</v>
      </c>
      <c r="D98" s="11" t="s">
        <v>410</v>
      </c>
      <c r="E98" s="11" t="s">
        <v>83</v>
      </c>
      <c r="F98" s="11" t="s">
        <v>84</v>
      </c>
      <c r="G98" s="17"/>
      <c r="H98" s="18">
        <v>12</v>
      </c>
      <c r="I98" s="11" t="s">
        <v>411</v>
      </c>
      <c r="J98" s="11" t="s">
        <v>86</v>
      </c>
      <c r="K98" s="11" t="s">
        <v>412</v>
      </c>
      <c r="L98" s="11" t="s">
        <v>88</v>
      </c>
    </row>
    <row r="99" spans="1:12" ht="25.5" x14ac:dyDescent="0.25">
      <c r="A99" s="11" t="s">
        <v>413</v>
      </c>
      <c r="B99" s="11" t="s">
        <v>393</v>
      </c>
      <c r="C99" s="11" t="s">
        <v>394</v>
      </c>
      <c r="D99" s="11" t="s">
        <v>414</v>
      </c>
      <c r="E99" s="11" t="s">
        <v>83</v>
      </c>
      <c r="F99" s="11" t="s">
        <v>84</v>
      </c>
      <c r="G99" s="17"/>
      <c r="H99" s="18">
        <v>12</v>
      </c>
      <c r="I99" s="11" t="s">
        <v>415</v>
      </c>
      <c r="J99" s="11" t="s">
        <v>416</v>
      </c>
      <c r="K99" s="11" t="s">
        <v>417</v>
      </c>
      <c r="L99" s="11" t="s">
        <v>88</v>
      </c>
    </row>
    <row r="100" spans="1:12" x14ac:dyDescent="0.25">
      <c r="A100" s="11" t="s">
        <v>418</v>
      </c>
      <c r="B100" s="11" t="s">
        <v>393</v>
      </c>
      <c r="C100" s="11" t="s">
        <v>394</v>
      </c>
      <c r="D100" s="11" t="s">
        <v>419</v>
      </c>
      <c r="E100" s="11" t="s">
        <v>124</v>
      </c>
      <c r="F100" s="11" t="s">
        <v>84</v>
      </c>
      <c r="G100" s="17">
        <v>3</v>
      </c>
      <c r="H100" s="18">
        <v>12</v>
      </c>
      <c r="I100" s="11" t="s">
        <v>35</v>
      </c>
      <c r="J100" s="11" t="s">
        <v>119</v>
      </c>
      <c r="K100" s="11" t="s">
        <v>420</v>
      </c>
      <c r="L100" s="11" t="s">
        <v>88</v>
      </c>
    </row>
    <row r="101" spans="1:12" x14ac:dyDescent="0.25">
      <c r="A101" s="11" t="s">
        <v>421</v>
      </c>
      <c r="B101" s="11" t="s">
        <v>393</v>
      </c>
      <c r="C101" s="11" t="s">
        <v>394</v>
      </c>
      <c r="D101" s="11" t="s">
        <v>422</v>
      </c>
      <c r="E101" s="11" t="s">
        <v>83</v>
      </c>
      <c r="F101" s="11" t="s">
        <v>84</v>
      </c>
      <c r="G101" s="17"/>
      <c r="H101" s="18">
        <v>12</v>
      </c>
      <c r="I101" s="11" t="s">
        <v>423</v>
      </c>
      <c r="J101" s="11" t="s">
        <v>119</v>
      </c>
      <c r="K101" s="11" t="s">
        <v>424</v>
      </c>
      <c r="L101" s="11" t="s">
        <v>88</v>
      </c>
    </row>
    <row r="102" spans="1:12" x14ac:dyDescent="0.25">
      <c r="A102" s="11" t="s">
        <v>425</v>
      </c>
      <c r="B102" s="11" t="s">
        <v>426</v>
      </c>
      <c r="C102" s="11" t="s">
        <v>427</v>
      </c>
      <c r="D102" s="11" t="s">
        <v>428</v>
      </c>
      <c r="E102" s="11" t="s">
        <v>185</v>
      </c>
      <c r="F102" s="11" t="s">
        <v>429</v>
      </c>
      <c r="G102" s="17">
        <v>13</v>
      </c>
      <c r="H102" s="18" t="s">
        <v>430</v>
      </c>
      <c r="I102" s="11" t="s">
        <v>31</v>
      </c>
      <c r="J102" s="11" t="s">
        <v>86</v>
      </c>
      <c r="K102" s="11" t="s">
        <v>431</v>
      </c>
      <c r="L102" s="11" t="s">
        <v>88</v>
      </c>
    </row>
    <row r="103" spans="1:12" x14ac:dyDescent="0.25">
      <c r="A103" s="11" t="s">
        <v>432</v>
      </c>
      <c r="B103" s="11" t="s">
        <v>426</v>
      </c>
      <c r="C103" s="11" t="s">
        <v>427</v>
      </c>
      <c r="D103" s="11" t="s">
        <v>433</v>
      </c>
      <c r="E103" s="11" t="s">
        <v>185</v>
      </c>
      <c r="F103" s="11" t="s">
        <v>429</v>
      </c>
      <c r="G103" s="17">
        <v>21</v>
      </c>
      <c r="H103" s="18" t="s">
        <v>430</v>
      </c>
      <c r="I103" s="11" t="s">
        <v>21</v>
      </c>
      <c r="J103" s="11" t="s">
        <v>104</v>
      </c>
      <c r="K103" s="11" t="s">
        <v>431</v>
      </c>
      <c r="L103" s="11" t="s">
        <v>88</v>
      </c>
    </row>
    <row r="104" spans="1:12" x14ac:dyDescent="0.25">
      <c r="A104" s="11" t="s">
        <v>434</v>
      </c>
      <c r="B104" s="11" t="s">
        <v>426</v>
      </c>
      <c r="C104" s="11" t="s">
        <v>427</v>
      </c>
      <c r="D104" s="11" t="s">
        <v>435</v>
      </c>
      <c r="E104" s="11" t="s">
        <v>185</v>
      </c>
      <c r="F104" s="11" t="s">
        <v>429</v>
      </c>
      <c r="G104" s="17">
        <v>13</v>
      </c>
      <c r="H104" s="18" t="s">
        <v>430</v>
      </c>
      <c r="I104" s="11" t="s">
        <v>21</v>
      </c>
      <c r="J104" s="11" t="s">
        <v>86</v>
      </c>
      <c r="K104" s="11" t="s">
        <v>431</v>
      </c>
      <c r="L104" s="11" t="s">
        <v>88</v>
      </c>
    </row>
    <row r="105" spans="1:12" x14ac:dyDescent="0.25">
      <c r="A105" s="11" t="s">
        <v>436</v>
      </c>
      <c r="B105" s="11" t="s">
        <v>426</v>
      </c>
      <c r="C105" s="11" t="s">
        <v>427</v>
      </c>
      <c r="D105" s="11" t="s">
        <v>437</v>
      </c>
      <c r="E105" s="11" t="s">
        <v>185</v>
      </c>
      <c r="F105" s="11" t="s">
        <v>429</v>
      </c>
      <c r="G105" s="17">
        <v>8</v>
      </c>
      <c r="H105" s="18" t="s">
        <v>430</v>
      </c>
      <c r="I105" s="11" t="s">
        <v>31</v>
      </c>
      <c r="J105" s="11" t="s">
        <v>100</v>
      </c>
      <c r="K105" s="11" t="s">
        <v>431</v>
      </c>
      <c r="L105" s="11" t="s">
        <v>88</v>
      </c>
    </row>
  </sheetData>
  <autoFilter ref="A4:L105" xr:uid="{00000000-0009-0000-0000-000001000000}"/>
  <conditionalFormatting sqref="F5:F200">
    <cfRule type="cellIs" dxfId="15" priority="1" operator="equal">
      <formula>"Must"</formula>
    </cfRule>
    <cfRule type="cellIs" dxfId="14" priority="2" operator="equal">
      <formula>"Should"</formula>
    </cfRule>
    <cfRule type="cellIs" dxfId="13" priority="3" operator="equal">
      <formula>"Could"</formula>
    </cfRule>
    <cfRule type="cellIs" dxfId="12" priority="4" operator="equal">
      <formula>"Won't (v1)"</formula>
    </cfRule>
  </conditionalFormatting>
  <dataValidations count="4">
    <dataValidation type="list" sqref="E5:E200" xr:uid="{00000000-0002-0000-0100-000000000000}">
      <formula1>"Historia,Técnica,Spike,UX/UI,Documento,Soporte"</formula1>
    </dataValidation>
    <dataValidation type="list" sqref="F5:F200" xr:uid="{00000000-0002-0000-0100-000001000000}">
      <formula1>"Must,Should,Could,Won't (v1)"</formula1>
    </dataValidation>
    <dataValidation type="list" sqref="L5:L200" xr:uid="{00000000-0002-0000-0100-000002000000}">
      <formula1>"Pendiente,En progreso,Hecho,Bloqueado"</formula1>
    </dataValidation>
    <dataValidation type="custom" allowBlank="1" error="Ingrese un número de sprint entre 0 y 12, o el texto Post v1.0" sqref="H5:H200" xr:uid="{00000000-0002-0000-0100-000003000000}">
      <formula1>OR(AND(ISNUMBER(H5),H5&gt;=0,H5&lt;=12,INT(H5)=H5),H5="Post v1.0")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" customWidth="1"/>
    <col min="2" max="2" width="30" customWidth="1"/>
    <col min="3" max="4" width="12" customWidth="1"/>
    <col min="5" max="5" width="62" customWidth="1"/>
    <col min="6" max="8" width="11" customWidth="1"/>
    <col min="9" max="9" width="34" customWidth="1"/>
    <col min="10" max="10" width="30" customWidth="1"/>
  </cols>
  <sheetData>
    <row r="1" spans="1:10" ht="20.25" x14ac:dyDescent="0.3">
      <c r="A1" s="1" t="s">
        <v>438</v>
      </c>
    </row>
    <row r="2" spans="1:10" x14ac:dyDescent="0.25">
      <c r="A2" s="2" t="s">
        <v>439</v>
      </c>
    </row>
    <row r="4" spans="1:10" ht="38.25" x14ac:dyDescent="0.25">
      <c r="A4" s="10" t="s">
        <v>74</v>
      </c>
      <c r="B4" s="10" t="s">
        <v>440</v>
      </c>
      <c r="C4" s="10" t="s">
        <v>441</v>
      </c>
      <c r="D4" s="10" t="s">
        <v>442</v>
      </c>
      <c r="E4" s="10" t="s">
        <v>443</v>
      </c>
      <c r="F4" s="10" t="s">
        <v>444</v>
      </c>
      <c r="G4" s="10" t="s">
        <v>445</v>
      </c>
      <c r="H4" s="10" t="s">
        <v>446</v>
      </c>
      <c r="I4" s="10" t="s">
        <v>447</v>
      </c>
      <c r="J4" s="10" t="s">
        <v>448</v>
      </c>
    </row>
    <row r="5" spans="1:10" ht="25.5" x14ac:dyDescent="0.25">
      <c r="A5" s="19">
        <v>0</v>
      </c>
      <c r="B5" s="11" t="s">
        <v>449</v>
      </c>
      <c r="C5" s="20">
        <f>Resumen!$C$5+Resumen!$C$6*A5</f>
        <v>46300</v>
      </c>
      <c r="D5" s="20">
        <f>C5+Resumen!$C$6-3</f>
        <v>46311</v>
      </c>
      <c r="E5" s="11" t="s">
        <v>450</v>
      </c>
      <c r="F5" s="21">
        <v>20</v>
      </c>
      <c r="G5" s="22">
        <f>SUMIFS(Backlog!$G$5:$G$200,Backlog!$H$5:$H$200,A5)</f>
        <v>18</v>
      </c>
      <c r="H5" s="23">
        <f t="shared" ref="H5:H18" si="0">IF(F5=0,"",G5/F5)</f>
        <v>0.9</v>
      </c>
      <c r="I5" s="11" t="s">
        <v>451</v>
      </c>
      <c r="J5" s="11" t="s">
        <v>452</v>
      </c>
    </row>
    <row r="6" spans="1:10" ht="25.5" x14ac:dyDescent="0.25">
      <c r="A6" s="19">
        <v>1</v>
      </c>
      <c r="B6" s="11" t="s">
        <v>449</v>
      </c>
      <c r="C6" s="20">
        <f>Resumen!$C$5+Resumen!$C$6*A6</f>
        <v>46314</v>
      </c>
      <c r="D6" s="20">
        <f>C6+Resumen!$C$6-3</f>
        <v>46325</v>
      </c>
      <c r="E6" s="11" t="s">
        <v>453</v>
      </c>
      <c r="F6" s="21">
        <v>36</v>
      </c>
      <c r="G6" s="22">
        <f>SUMIFS(Backlog!$G$5:$G$200,Backlog!$H$5:$H$200,A6)</f>
        <v>34</v>
      </c>
      <c r="H6" s="23">
        <f t="shared" si="0"/>
        <v>0.94444444444444442</v>
      </c>
      <c r="I6" s="11" t="s">
        <v>454</v>
      </c>
      <c r="J6" s="11"/>
    </row>
    <row r="7" spans="1:10" ht="25.5" x14ac:dyDescent="0.25">
      <c r="A7" s="19">
        <v>2</v>
      </c>
      <c r="B7" s="11" t="s">
        <v>455</v>
      </c>
      <c r="C7" s="20">
        <f>Resumen!$C$5+Resumen!$C$6*A7</f>
        <v>46328</v>
      </c>
      <c r="D7" s="20">
        <f>C7+Resumen!$C$6-3</f>
        <v>46339</v>
      </c>
      <c r="E7" s="11" t="s">
        <v>456</v>
      </c>
      <c r="F7" s="21">
        <v>40</v>
      </c>
      <c r="G7" s="22">
        <f>SUMIFS(Backlog!$G$5:$G$200,Backlog!$H$5:$H$200,A7)</f>
        <v>37</v>
      </c>
      <c r="H7" s="23">
        <f t="shared" si="0"/>
        <v>0.92500000000000004</v>
      </c>
      <c r="I7" s="11"/>
      <c r="J7" s="11"/>
    </row>
    <row r="8" spans="1:10" ht="25.5" x14ac:dyDescent="0.25">
      <c r="A8" s="19">
        <v>3</v>
      </c>
      <c r="B8" s="11" t="s">
        <v>455</v>
      </c>
      <c r="C8" s="20">
        <f>Resumen!$C$5+Resumen!$C$6*A8</f>
        <v>46342</v>
      </c>
      <c r="D8" s="20">
        <f>C8+Resumen!$C$6-3</f>
        <v>46353</v>
      </c>
      <c r="E8" s="11" t="s">
        <v>457</v>
      </c>
      <c r="F8" s="21">
        <v>40</v>
      </c>
      <c r="G8" s="22">
        <f>SUMIFS(Backlog!$G$5:$G$200,Backlog!$H$5:$H$200,A8)</f>
        <v>39</v>
      </c>
      <c r="H8" s="23">
        <f t="shared" si="0"/>
        <v>0.97499999999999998</v>
      </c>
      <c r="I8" s="11"/>
      <c r="J8" s="11"/>
    </row>
    <row r="9" spans="1:10" ht="25.5" x14ac:dyDescent="0.25">
      <c r="A9" s="19">
        <v>4</v>
      </c>
      <c r="B9" s="11" t="s">
        <v>455</v>
      </c>
      <c r="C9" s="20">
        <f>Resumen!$C$5+Resumen!$C$6*A9</f>
        <v>46356</v>
      </c>
      <c r="D9" s="20">
        <f>C9+Resumen!$C$6-3</f>
        <v>46367</v>
      </c>
      <c r="E9" s="11" t="s">
        <v>458</v>
      </c>
      <c r="F9" s="21">
        <v>40</v>
      </c>
      <c r="G9" s="22">
        <f>SUMIFS(Backlog!$G$5:$G$200,Backlog!$H$5:$H$200,A9)</f>
        <v>36</v>
      </c>
      <c r="H9" s="23">
        <f t="shared" si="0"/>
        <v>0.9</v>
      </c>
      <c r="I9" s="11" t="s">
        <v>459</v>
      </c>
      <c r="J9" s="11"/>
    </row>
    <row r="10" spans="1:10" ht="25.5" x14ac:dyDescent="0.25">
      <c r="A10" s="19">
        <v>5</v>
      </c>
      <c r="B10" s="11" t="s">
        <v>460</v>
      </c>
      <c r="C10" s="20">
        <f>Resumen!$C$5+Resumen!$C$6*A10</f>
        <v>46370</v>
      </c>
      <c r="D10" s="20">
        <f>C10+Resumen!$C$6-3</f>
        <v>46381</v>
      </c>
      <c r="E10" s="11" t="s">
        <v>461</v>
      </c>
      <c r="F10" s="21">
        <v>32</v>
      </c>
      <c r="G10" s="22">
        <f>SUMIFS(Backlog!$G$5:$G$200,Backlog!$H$5:$H$200,A10)</f>
        <v>29</v>
      </c>
      <c r="H10" s="23">
        <f t="shared" si="0"/>
        <v>0.90625</v>
      </c>
      <c r="I10" s="11"/>
      <c r="J10" s="11" t="s">
        <v>462</v>
      </c>
    </row>
    <row r="11" spans="1:10" ht="25.5" x14ac:dyDescent="0.25">
      <c r="A11" s="19">
        <v>6</v>
      </c>
      <c r="B11" s="11" t="s">
        <v>460</v>
      </c>
      <c r="C11" s="20">
        <f>Resumen!$C$5+Resumen!$C$6*A11</f>
        <v>46384</v>
      </c>
      <c r="D11" s="20">
        <f>C11+Resumen!$C$6-3</f>
        <v>46395</v>
      </c>
      <c r="E11" s="11" t="s">
        <v>463</v>
      </c>
      <c r="F11" s="21">
        <v>28</v>
      </c>
      <c r="G11" s="22">
        <f>SUMIFS(Backlog!$G$5:$G$200,Backlog!$H$5:$H$200,A11)</f>
        <v>27</v>
      </c>
      <c r="H11" s="23">
        <f t="shared" si="0"/>
        <v>0.9642857142857143</v>
      </c>
      <c r="I11" s="11"/>
      <c r="J11" s="11" t="s">
        <v>462</v>
      </c>
    </row>
    <row r="12" spans="1:10" ht="25.5" x14ac:dyDescent="0.25">
      <c r="A12" s="19">
        <v>7</v>
      </c>
      <c r="B12" s="11" t="s">
        <v>460</v>
      </c>
      <c r="C12" s="20">
        <f>Resumen!$C$5+Resumen!$C$6*A12</f>
        <v>46398</v>
      </c>
      <c r="D12" s="20">
        <f>C12+Resumen!$C$6-3</f>
        <v>46409</v>
      </c>
      <c r="E12" s="11" t="s">
        <v>464</v>
      </c>
      <c r="F12" s="21">
        <v>40</v>
      </c>
      <c r="G12" s="22">
        <f>SUMIFS(Backlog!$G$5:$G$200,Backlog!$H$5:$H$200,A12)</f>
        <v>36</v>
      </c>
      <c r="H12" s="23">
        <f t="shared" si="0"/>
        <v>0.9</v>
      </c>
      <c r="I12" s="11"/>
      <c r="J12" s="11"/>
    </row>
    <row r="13" spans="1:10" ht="25.5" x14ac:dyDescent="0.25">
      <c r="A13" s="19">
        <v>8</v>
      </c>
      <c r="B13" s="11" t="s">
        <v>460</v>
      </c>
      <c r="C13" s="20">
        <f>Resumen!$C$5+Resumen!$C$6*A13</f>
        <v>46412</v>
      </c>
      <c r="D13" s="20">
        <f>C13+Resumen!$C$6-3</f>
        <v>46423</v>
      </c>
      <c r="E13" s="11" t="s">
        <v>465</v>
      </c>
      <c r="F13" s="21">
        <v>40</v>
      </c>
      <c r="G13" s="22">
        <f>SUMIFS(Backlog!$G$5:$G$200,Backlog!$H$5:$H$200,A13)</f>
        <v>34</v>
      </c>
      <c r="H13" s="23">
        <f t="shared" si="0"/>
        <v>0.85</v>
      </c>
      <c r="I13" s="11" t="s">
        <v>466</v>
      </c>
      <c r="J13" s="11"/>
    </row>
    <row r="14" spans="1:10" ht="25.5" x14ac:dyDescent="0.25">
      <c r="A14" s="19">
        <v>9</v>
      </c>
      <c r="B14" s="11" t="s">
        <v>467</v>
      </c>
      <c r="C14" s="20">
        <f>Resumen!$C$5+Resumen!$C$6*A14</f>
        <v>46426</v>
      </c>
      <c r="D14" s="20">
        <f>C14+Resumen!$C$6-3</f>
        <v>46437</v>
      </c>
      <c r="E14" s="11" t="s">
        <v>468</v>
      </c>
      <c r="F14" s="21">
        <v>40</v>
      </c>
      <c r="G14" s="22">
        <f>SUMIFS(Backlog!$G$5:$G$200,Backlog!$H$5:$H$200,A14)</f>
        <v>37</v>
      </c>
      <c r="H14" s="23">
        <f t="shared" si="0"/>
        <v>0.92500000000000004</v>
      </c>
      <c r="I14" s="11"/>
      <c r="J14" s="11"/>
    </row>
    <row r="15" spans="1:10" ht="25.5" x14ac:dyDescent="0.25">
      <c r="A15" s="19">
        <v>10</v>
      </c>
      <c r="B15" s="11" t="s">
        <v>467</v>
      </c>
      <c r="C15" s="20">
        <f>Resumen!$C$5+Resumen!$C$6*A15</f>
        <v>46440</v>
      </c>
      <c r="D15" s="20">
        <f>C15+Resumen!$C$6-3</f>
        <v>46451</v>
      </c>
      <c r="E15" s="11" t="s">
        <v>469</v>
      </c>
      <c r="F15" s="21">
        <v>40</v>
      </c>
      <c r="G15" s="22">
        <f>SUMIFS(Backlog!$G$5:$G$200,Backlog!$H$5:$H$200,A15)</f>
        <v>36</v>
      </c>
      <c r="H15" s="23">
        <f t="shared" si="0"/>
        <v>0.9</v>
      </c>
      <c r="I15" s="11" t="s">
        <v>470</v>
      </c>
      <c r="J15" s="11"/>
    </row>
    <row r="16" spans="1:10" ht="25.5" x14ac:dyDescent="0.25">
      <c r="A16" s="19">
        <v>11</v>
      </c>
      <c r="B16" s="11" t="s">
        <v>471</v>
      </c>
      <c r="C16" s="20">
        <f>Resumen!$C$5+Resumen!$C$6*A16</f>
        <v>46454</v>
      </c>
      <c r="D16" s="20">
        <f>C16+Resumen!$C$6-3</f>
        <v>46465</v>
      </c>
      <c r="E16" s="11" t="s">
        <v>472</v>
      </c>
      <c r="F16" s="21">
        <v>36</v>
      </c>
      <c r="G16" s="22">
        <f>SUMIFS(Backlog!$G$5:$G$200,Backlog!$H$5:$H$200,A16)</f>
        <v>34</v>
      </c>
      <c r="H16" s="23">
        <f t="shared" si="0"/>
        <v>0.94444444444444442</v>
      </c>
      <c r="I16" s="11"/>
      <c r="J16" s="11" t="s">
        <v>473</v>
      </c>
    </row>
    <row r="17" spans="1:10" ht="25.5" x14ac:dyDescent="0.25">
      <c r="A17" s="19">
        <v>12</v>
      </c>
      <c r="B17" s="11" t="s">
        <v>471</v>
      </c>
      <c r="C17" s="20">
        <f>Resumen!$C$5+Resumen!$C$6*A17</f>
        <v>46468</v>
      </c>
      <c r="D17" s="20">
        <f>C17+Resumen!$C$6-3</f>
        <v>46479</v>
      </c>
      <c r="E17" s="11" t="s">
        <v>474</v>
      </c>
      <c r="F17" s="21">
        <v>28</v>
      </c>
      <c r="G17" s="22">
        <f>SUMIFS(Backlog!$G$5:$G$200,Backlog!$H$5:$H$200,A17)</f>
        <v>22</v>
      </c>
      <c r="H17" s="23">
        <f t="shared" si="0"/>
        <v>0.7857142857142857</v>
      </c>
      <c r="I17" s="11" t="s">
        <v>475</v>
      </c>
      <c r="J17" s="11" t="s">
        <v>476</v>
      </c>
    </row>
    <row r="18" spans="1:10" x14ac:dyDescent="0.25">
      <c r="A18" s="13" t="s">
        <v>43</v>
      </c>
      <c r="B18" s="13"/>
      <c r="C18" s="13"/>
      <c r="D18" s="13"/>
      <c r="E18" s="13"/>
      <c r="F18" s="24">
        <f>SUM(F5:F17)</f>
        <v>460</v>
      </c>
      <c r="G18" s="24">
        <f>SUM(G5:G17)</f>
        <v>419</v>
      </c>
      <c r="H18" s="25">
        <f t="shared" si="0"/>
        <v>0.91086956521739126</v>
      </c>
      <c r="I18" s="13"/>
      <c r="J18" s="13"/>
    </row>
  </sheetData>
  <conditionalFormatting sqref="H5:H18">
    <cfRule type="cellIs" dxfId="11" priority="1" operator="greaterThan">
      <formula>1</formula>
    </cfRule>
    <cfRule type="cellIs" dxfId="10" priority="2" operator="between">
      <formula>0.9</formula>
      <formula>1</formula>
    </cfRule>
    <cfRule type="cellIs" dxfId="9" priority="3" operator="lessThan">
      <formula>0.9</formula>
    </cfRule>
  </conditionalFormatting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4"/>
  <sheetViews>
    <sheetView showGridLines="0" workbookViewId="0">
      <pane xSplit="5" ySplit="4" topLeftCell="F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" customWidth="1"/>
    <col min="2" max="2" width="34" customWidth="1"/>
    <col min="3" max="4" width="8" customWidth="1"/>
    <col min="5" max="5" width="11" customWidth="1"/>
    <col min="6" max="18" width="9" customWidth="1"/>
  </cols>
  <sheetData>
    <row r="1" spans="1:18" ht="20.25" x14ac:dyDescent="0.3">
      <c r="A1" s="1" t="s">
        <v>477</v>
      </c>
    </row>
    <row r="2" spans="1:18" x14ac:dyDescent="0.25">
      <c r="A2" s="2" t="s">
        <v>478</v>
      </c>
    </row>
    <row r="4" spans="1:18" x14ac:dyDescent="0.25">
      <c r="A4" s="10" t="s">
        <v>68</v>
      </c>
      <c r="B4" s="10" t="s">
        <v>479</v>
      </c>
      <c r="C4" s="10" t="s">
        <v>441</v>
      </c>
      <c r="D4" s="10" t="s">
        <v>442</v>
      </c>
      <c r="E4" s="10" t="s">
        <v>73</v>
      </c>
      <c r="F4" s="26">
        <v>0</v>
      </c>
      <c r="G4" s="26">
        <v>1</v>
      </c>
      <c r="H4" s="26">
        <v>2</v>
      </c>
      <c r="I4" s="26">
        <v>3</v>
      </c>
      <c r="J4" s="26">
        <v>4</v>
      </c>
      <c r="K4" s="26">
        <v>5</v>
      </c>
      <c r="L4" s="26">
        <v>6</v>
      </c>
      <c r="M4" s="26">
        <v>7</v>
      </c>
      <c r="N4" s="26">
        <v>8</v>
      </c>
      <c r="O4" s="26">
        <v>9</v>
      </c>
      <c r="P4" s="26">
        <v>10</v>
      </c>
      <c r="Q4" s="26">
        <v>11</v>
      </c>
      <c r="R4" s="26">
        <v>12</v>
      </c>
    </row>
    <row r="5" spans="1:18" x14ac:dyDescent="0.25">
      <c r="A5" s="39" t="s">
        <v>480</v>
      </c>
      <c r="B5" s="36"/>
      <c r="C5" s="36"/>
      <c r="D5" s="36"/>
      <c r="E5" s="36"/>
      <c r="F5" s="27">
        <f>INDEX(Sprints!$C$5:$C$17,MATCH(F$4,Sprints!$A$5:$A$17,0))</f>
        <v>46300</v>
      </c>
      <c r="G5" s="27">
        <f>INDEX(Sprints!$C$5:$C$17,MATCH(G$4,Sprints!$A$5:$A$17,0))</f>
        <v>46314</v>
      </c>
      <c r="H5" s="27">
        <f>INDEX(Sprints!$C$5:$C$17,MATCH(H$4,Sprints!$A$5:$A$17,0))</f>
        <v>46328</v>
      </c>
      <c r="I5" s="27">
        <f>INDEX(Sprints!$C$5:$C$17,MATCH(I$4,Sprints!$A$5:$A$17,0))</f>
        <v>46342</v>
      </c>
      <c r="J5" s="27">
        <f>INDEX(Sprints!$C$5:$C$17,MATCH(J$4,Sprints!$A$5:$A$17,0))</f>
        <v>46356</v>
      </c>
      <c r="K5" s="27">
        <f>INDEX(Sprints!$C$5:$C$17,MATCH(K$4,Sprints!$A$5:$A$17,0))</f>
        <v>46370</v>
      </c>
      <c r="L5" s="27">
        <f>INDEX(Sprints!$C$5:$C$17,MATCH(L$4,Sprints!$A$5:$A$17,0))</f>
        <v>46384</v>
      </c>
      <c r="M5" s="27">
        <f>INDEX(Sprints!$C$5:$C$17,MATCH(M$4,Sprints!$A$5:$A$17,0))</f>
        <v>46398</v>
      </c>
      <c r="N5" s="27">
        <f>INDEX(Sprints!$C$5:$C$17,MATCH(N$4,Sprints!$A$5:$A$17,0))</f>
        <v>46412</v>
      </c>
      <c r="O5" s="27">
        <f>INDEX(Sprints!$C$5:$C$17,MATCH(O$4,Sprints!$A$5:$A$17,0))</f>
        <v>46426</v>
      </c>
      <c r="P5" s="27">
        <f>INDEX(Sprints!$C$5:$C$17,MATCH(P$4,Sprints!$A$5:$A$17,0))</f>
        <v>46440</v>
      </c>
      <c r="Q5" s="27">
        <f>INDEX(Sprints!$C$5:$C$17,MATCH(Q$4,Sprints!$A$5:$A$17,0))</f>
        <v>46454</v>
      </c>
      <c r="R5" s="27">
        <f>INDEX(Sprints!$C$5:$C$17,MATCH(R$4,Sprints!$A$5:$A$17,0))</f>
        <v>46468</v>
      </c>
    </row>
    <row r="6" spans="1:18" x14ac:dyDescent="0.25">
      <c r="A6" s="39" t="s">
        <v>440</v>
      </c>
      <c r="B6" s="36"/>
      <c r="C6" s="36"/>
      <c r="D6" s="36"/>
      <c r="E6" s="36"/>
      <c r="F6" s="28" t="str">
        <f>LEFT(INDEX(Sprints!$B$5:$B$17,MATCH(F$4,Sprints!$A$5:$A$17,0)),2)</f>
        <v>F0</v>
      </c>
      <c r="G6" s="28" t="str">
        <f>LEFT(INDEX(Sprints!$B$5:$B$17,MATCH(G$4,Sprints!$A$5:$A$17,0)),2)</f>
        <v>F0</v>
      </c>
      <c r="H6" s="28" t="str">
        <f>LEFT(INDEX(Sprints!$B$5:$B$17,MATCH(H$4,Sprints!$A$5:$A$17,0)),2)</f>
        <v>F1</v>
      </c>
      <c r="I6" s="28" t="str">
        <f>LEFT(INDEX(Sprints!$B$5:$B$17,MATCH(I$4,Sprints!$A$5:$A$17,0)),2)</f>
        <v>F1</v>
      </c>
      <c r="J6" s="28" t="str">
        <f>LEFT(INDEX(Sprints!$B$5:$B$17,MATCH(J$4,Sprints!$A$5:$A$17,0)),2)</f>
        <v>F1</v>
      </c>
      <c r="K6" s="28" t="str">
        <f>LEFT(INDEX(Sprints!$B$5:$B$17,MATCH(K$4,Sprints!$A$5:$A$17,0)),2)</f>
        <v>F2</v>
      </c>
      <c r="L6" s="28" t="str">
        <f>LEFT(INDEX(Sprints!$B$5:$B$17,MATCH(L$4,Sprints!$A$5:$A$17,0)),2)</f>
        <v>F2</v>
      </c>
      <c r="M6" s="28" t="str">
        <f>LEFT(INDEX(Sprints!$B$5:$B$17,MATCH(M$4,Sprints!$A$5:$A$17,0)),2)</f>
        <v>F2</v>
      </c>
      <c r="N6" s="28" t="str">
        <f>LEFT(INDEX(Sprints!$B$5:$B$17,MATCH(N$4,Sprints!$A$5:$A$17,0)),2)</f>
        <v>F2</v>
      </c>
      <c r="O6" s="28" t="str">
        <f>LEFT(INDEX(Sprints!$B$5:$B$17,MATCH(O$4,Sprints!$A$5:$A$17,0)),2)</f>
        <v>F3</v>
      </c>
      <c r="P6" s="28" t="str">
        <f>LEFT(INDEX(Sprints!$B$5:$B$17,MATCH(P$4,Sprints!$A$5:$A$17,0)),2)</f>
        <v>F3</v>
      </c>
      <c r="Q6" s="28" t="str">
        <f>LEFT(INDEX(Sprints!$B$5:$B$17,MATCH(Q$4,Sprints!$A$5:$A$17,0)),2)</f>
        <v>F4</v>
      </c>
      <c r="R6" s="28" t="str">
        <f>LEFT(INDEX(Sprints!$B$5:$B$17,MATCH(R$4,Sprints!$A$5:$A$17,0)),2)</f>
        <v>F4</v>
      </c>
    </row>
    <row r="7" spans="1:18" x14ac:dyDescent="0.25">
      <c r="A7" s="39" t="s">
        <v>447</v>
      </c>
      <c r="B7" s="36"/>
      <c r="C7" s="36"/>
      <c r="D7" s="36"/>
      <c r="E7" s="36"/>
      <c r="F7" s="29" t="str">
        <f>IF(INDEX(Sprints!$I$5:$I$17,MATCH(F$4,Sprints!$A$5:$A$17,0))="","","◆ "&amp;LEFT(INDEX(Sprints!$I$5:$I$17,MATCH(F$4,Sprints!$A$5:$A$17,0)),2))</f>
        <v>◆ H1</v>
      </c>
      <c r="G7" s="29" t="str">
        <f>IF(INDEX(Sprints!$I$5:$I$17,MATCH(G$4,Sprints!$A$5:$A$17,0))="","","◆ "&amp;LEFT(INDEX(Sprints!$I$5:$I$17,MATCH(G$4,Sprints!$A$5:$A$17,0)),2))</f>
        <v>◆ H2</v>
      </c>
      <c r="H7" s="29" t="str">
        <f>IF(INDEX(Sprints!$I$5:$I$17,MATCH(H$4,Sprints!$A$5:$A$17,0))="","","◆ "&amp;LEFT(INDEX(Sprints!$I$5:$I$17,MATCH(H$4,Sprints!$A$5:$A$17,0)),2))</f>
        <v/>
      </c>
      <c r="I7" s="29" t="str">
        <f>IF(INDEX(Sprints!$I$5:$I$17,MATCH(I$4,Sprints!$A$5:$A$17,0))="","","◆ "&amp;LEFT(INDEX(Sprints!$I$5:$I$17,MATCH(I$4,Sprints!$A$5:$A$17,0)),2))</f>
        <v/>
      </c>
      <c r="J7" s="29" t="str">
        <f>IF(INDEX(Sprints!$I$5:$I$17,MATCH(J$4,Sprints!$A$5:$A$17,0))="","","◆ "&amp;LEFT(INDEX(Sprints!$I$5:$I$17,MATCH(J$4,Sprints!$A$5:$A$17,0)),2))</f>
        <v>◆ H3</v>
      </c>
      <c r="K7" s="29" t="str">
        <f>IF(INDEX(Sprints!$I$5:$I$17,MATCH(K$4,Sprints!$A$5:$A$17,0))="","","◆ "&amp;LEFT(INDEX(Sprints!$I$5:$I$17,MATCH(K$4,Sprints!$A$5:$A$17,0)),2))</f>
        <v/>
      </c>
      <c r="L7" s="29" t="str">
        <f>IF(INDEX(Sprints!$I$5:$I$17,MATCH(L$4,Sprints!$A$5:$A$17,0))="","","◆ "&amp;LEFT(INDEX(Sprints!$I$5:$I$17,MATCH(L$4,Sprints!$A$5:$A$17,0)),2))</f>
        <v/>
      </c>
      <c r="M7" s="29" t="str">
        <f>IF(INDEX(Sprints!$I$5:$I$17,MATCH(M$4,Sprints!$A$5:$A$17,0))="","","◆ "&amp;LEFT(INDEX(Sprints!$I$5:$I$17,MATCH(M$4,Sprints!$A$5:$A$17,0)),2))</f>
        <v/>
      </c>
      <c r="N7" s="29" t="str">
        <f>IF(INDEX(Sprints!$I$5:$I$17,MATCH(N$4,Sprints!$A$5:$A$17,0))="","","◆ "&amp;LEFT(INDEX(Sprints!$I$5:$I$17,MATCH(N$4,Sprints!$A$5:$A$17,0)),2))</f>
        <v>◆ H4</v>
      </c>
      <c r="O7" s="29" t="str">
        <f>IF(INDEX(Sprints!$I$5:$I$17,MATCH(O$4,Sprints!$A$5:$A$17,0))="","","◆ "&amp;LEFT(INDEX(Sprints!$I$5:$I$17,MATCH(O$4,Sprints!$A$5:$A$17,0)),2))</f>
        <v/>
      </c>
      <c r="P7" s="29" t="str">
        <f>IF(INDEX(Sprints!$I$5:$I$17,MATCH(P$4,Sprints!$A$5:$A$17,0))="","","◆ "&amp;LEFT(INDEX(Sprints!$I$5:$I$17,MATCH(P$4,Sprints!$A$5:$A$17,0)),2))</f>
        <v>◆ H5</v>
      </c>
      <c r="Q7" s="29" t="str">
        <f>IF(INDEX(Sprints!$I$5:$I$17,MATCH(Q$4,Sprints!$A$5:$A$17,0))="","","◆ "&amp;LEFT(INDEX(Sprints!$I$5:$I$17,MATCH(Q$4,Sprints!$A$5:$A$17,0)),2))</f>
        <v/>
      </c>
      <c r="R7" s="29" t="str">
        <f>IF(INDEX(Sprints!$I$5:$I$17,MATCH(R$4,Sprints!$A$5:$A$17,0))="","","◆ "&amp;LEFT(INDEX(Sprints!$I$5:$I$17,MATCH(R$4,Sprints!$A$5:$A$17,0)),2))</f>
        <v>◆ H6</v>
      </c>
    </row>
    <row r="8" spans="1:18" x14ac:dyDescent="0.25">
      <c r="A8" s="11" t="s">
        <v>80</v>
      </c>
      <c r="B8" s="11" t="s">
        <v>81</v>
      </c>
      <c r="C8" s="30">
        <f>IF(COUNTIFS(Backlog!$B$5:$B$200,$A8,Backlog!$H$5:$H$200,"&gt;=0")=0,"",_xlfn.MINIFS(Backlog!$H$5:$H$200,Backlog!$B$5:$B$200,$A8))</f>
        <v>0</v>
      </c>
      <c r="D8" s="30">
        <f>IF(COUNTIFS(Backlog!$B$5:$B$200,$A8,Backlog!$H$5:$H$200,"&gt;=0")=0,"",_xlfn.MAXIFS(Backlog!$H$5:$H$200,Backlog!$B$5:$B$200,$A8))</f>
        <v>2</v>
      </c>
      <c r="E8" s="22">
        <f>SUMIFS(Backlog!$G$5:$G$200,Backlog!$B$5:$B$200,$A8,Backlog!$H$5:$H$200,"&gt;=0")</f>
        <v>5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</row>
    <row r="9" spans="1:18" x14ac:dyDescent="0.25">
      <c r="A9" s="11" t="s">
        <v>115</v>
      </c>
      <c r="B9" s="11" t="s">
        <v>116</v>
      </c>
      <c r="C9" s="30">
        <f>IF(COUNTIFS(Backlog!$B$5:$B$200,$A9,Backlog!$H$5:$H$200,"&gt;=0")=0,"",_xlfn.MINIFS(Backlog!$H$5:$H$200,Backlog!$B$5:$B$200,$A9))</f>
        <v>0</v>
      </c>
      <c r="D9" s="30">
        <f>IF(COUNTIFS(Backlog!$B$5:$B$200,$A9,Backlog!$H$5:$H$200,"&gt;=0")=0,"",_xlfn.MAXIFS(Backlog!$H$5:$H$200,Backlog!$B$5:$B$200,$A9))</f>
        <v>10</v>
      </c>
      <c r="E9" s="22">
        <f>SUMIFS(Backlog!$G$5:$G$200,Backlog!$B$5:$B$200,$A9,Backlog!$H$5:$H$200,"&gt;=0")</f>
        <v>40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</row>
    <row r="10" spans="1:18" x14ac:dyDescent="0.25">
      <c r="A10" s="11" t="s">
        <v>179</v>
      </c>
      <c r="B10" s="11" t="s">
        <v>180</v>
      </c>
      <c r="C10" s="30">
        <f>IF(COUNTIFS(Backlog!$B$5:$B$200,$A10,Backlog!$H$5:$H$200,"&gt;=0")=0,"",_xlfn.MINIFS(Backlog!$H$5:$H$200,Backlog!$B$5:$B$200,$A10))</f>
        <v>2</v>
      </c>
      <c r="D10" s="30">
        <f>IF(COUNTIFS(Backlog!$B$5:$B$200,$A10,Backlog!$H$5:$H$200,"&gt;=0")=0,"",_xlfn.MAXIFS(Backlog!$H$5:$H$200,Backlog!$B$5:$B$200,$A10))</f>
        <v>2</v>
      </c>
      <c r="E10" s="22">
        <f>SUMIFS(Backlog!$G$5:$G$200,Backlog!$B$5:$B$200,$A10,Backlog!$H$5:$H$200,"&gt;=0")</f>
        <v>34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</row>
    <row r="11" spans="1:18" x14ac:dyDescent="0.25">
      <c r="A11" s="11" t="s">
        <v>163</v>
      </c>
      <c r="B11" s="11" t="s">
        <v>164</v>
      </c>
      <c r="C11" s="30">
        <f>IF(COUNTIFS(Backlog!$B$5:$B$200,$A11,Backlog!$H$5:$H$200,"&gt;=0")=0,"",_xlfn.MINIFS(Backlog!$H$5:$H$200,Backlog!$B$5:$B$200,$A11))</f>
        <v>1</v>
      </c>
      <c r="D11" s="30">
        <f>IF(COUNTIFS(Backlog!$B$5:$B$200,$A11,Backlog!$H$5:$H$200,"&gt;=0")=0,"",_xlfn.MAXIFS(Backlog!$H$5:$H$200,Backlog!$B$5:$B$200,$A11))</f>
        <v>4</v>
      </c>
      <c r="E11" s="22">
        <f>SUMIFS(Backlog!$G$5:$G$200,Backlog!$B$5:$B$200,$A11,Backlog!$H$5:$H$200,"&gt;=0")</f>
        <v>44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spans="1:18" x14ac:dyDescent="0.25">
      <c r="A12" s="11" t="s">
        <v>231</v>
      </c>
      <c r="B12" s="11" t="s">
        <v>232</v>
      </c>
      <c r="C12" s="30">
        <f>IF(COUNTIFS(Backlog!$B$5:$B$200,$A12,Backlog!$H$5:$H$200,"&gt;=0")=0,"",_xlfn.MINIFS(Backlog!$H$5:$H$200,Backlog!$B$5:$B$200,$A12))</f>
        <v>4</v>
      </c>
      <c r="D12" s="30">
        <f>IF(COUNTIFS(Backlog!$B$5:$B$200,$A12,Backlog!$H$5:$H$200,"&gt;=0")=0,"",_xlfn.MAXIFS(Backlog!$H$5:$H$200,Backlog!$B$5:$B$200,$A12))</f>
        <v>4</v>
      </c>
      <c r="E12" s="22">
        <f>SUMIFS(Backlog!$G$5:$G$200,Backlog!$B$5:$B$200,$A12,Backlog!$H$5:$H$200,"&gt;=0")</f>
        <v>26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spans="1:18" x14ac:dyDescent="0.25">
      <c r="A13" s="11" t="s">
        <v>250</v>
      </c>
      <c r="B13" s="11" t="s">
        <v>251</v>
      </c>
      <c r="C13" s="30">
        <f>IF(COUNTIFS(Backlog!$B$5:$B$200,$A13,Backlog!$H$5:$H$200,"&gt;=0")=0,"",_xlfn.MINIFS(Backlog!$H$5:$H$200,Backlog!$B$5:$B$200,$A13))</f>
        <v>5</v>
      </c>
      <c r="D13" s="30">
        <f>IF(COUNTIFS(Backlog!$B$5:$B$200,$A13,Backlog!$H$5:$H$200,"&gt;=0")=0,"",_xlfn.MAXIFS(Backlog!$H$5:$H$200,Backlog!$B$5:$B$200,$A13))</f>
        <v>5</v>
      </c>
      <c r="E13" s="22">
        <f>SUMIFS(Backlog!$G$5:$G$200,Backlog!$B$5:$B$200,$A13,Backlog!$H$5:$H$200,"&gt;=0")</f>
        <v>26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18" x14ac:dyDescent="0.25">
      <c r="A14" s="11" t="s">
        <v>267</v>
      </c>
      <c r="B14" s="11" t="s">
        <v>268</v>
      </c>
      <c r="C14" s="30">
        <f>IF(COUNTIFS(Backlog!$B$5:$B$200,$A14,Backlog!$H$5:$H$200,"&gt;=0")=0,"",_xlfn.MINIFS(Backlog!$H$5:$H$200,Backlog!$B$5:$B$200,$A14))</f>
        <v>6</v>
      </c>
      <c r="D14" s="30">
        <f>IF(COUNTIFS(Backlog!$B$5:$B$200,$A14,Backlog!$H$5:$H$200,"&gt;=0")=0,"",_xlfn.MAXIFS(Backlog!$H$5:$H$200,Backlog!$B$5:$B$200,$A14))</f>
        <v>7</v>
      </c>
      <c r="E14" s="22">
        <f>SUMIFS(Backlog!$G$5:$G$200,Backlog!$B$5:$B$200,$A14,Backlog!$H$5:$H$200,"&gt;=0")</f>
        <v>26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 spans="1:18" x14ac:dyDescent="0.25">
      <c r="A15" s="11" t="s">
        <v>272</v>
      </c>
      <c r="B15" s="11" t="s">
        <v>273</v>
      </c>
      <c r="C15" s="30">
        <f>IF(COUNTIFS(Backlog!$B$5:$B$200,$A15,Backlog!$H$5:$H$200,"&gt;=0")=0,"",_xlfn.MINIFS(Backlog!$H$5:$H$200,Backlog!$B$5:$B$200,$A15))</f>
        <v>6</v>
      </c>
      <c r="D15" s="30">
        <f>IF(COUNTIFS(Backlog!$B$5:$B$200,$A15,Backlog!$H$5:$H$200,"&gt;=0")=0,"",_xlfn.MAXIFS(Backlog!$H$5:$H$200,Backlog!$B$5:$B$200,$A15))</f>
        <v>8</v>
      </c>
      <c r="E15" s="22">
        <f>SUMIFS(Backlog!$G$5:$G$200,Backlog!$B$5:$B$200,$A15,Backlog!$H$5:$H$200,"&gt;=0")</f>
        <v>26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x14ac:dyDescent="0.25">
      <c r="A16" s="11" t="s">
        <v>295</v>
      </c>
      <c r="B16" s="11" t="s">
        <v>296</v>
      </c>
      <c r="C16" s="30">
        <f>IF(COUNTIFS(Backlog!$B$5:$B$200,$A16,Backlog!$H$5:$H$200,"&gt;=0")=0,"",_xlfn.MINIFS(Backlog!$H$5:$H$200,Backlog!$B$5:$B$200,$A16))</f>
        <v>7</v>
      </c>
      <c r="D16" s="30">
        <f>IF(COUNTIFS(Backlog!$B$5:$B$200,$A16,Backlog!$H$5:$H$200,"&gt;=0")=0,"",_xlfn.MAXIFS(Backlog!$H$5:$H$200,Backlog!$B$5:$B$200,$A16))</f>
        <v>8</v>
      </c>
      <c r="E16" s="22">
        <f>SUMIFS(Backlog!$G$5:$G$200,Backlog!$B$5:$B$200,$A16,Backlog!$H$5:$H$200,"&gt;=0")</f>
        <v>21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x14ac:dyDescent="0.25">
      <c r="A17" s="11" t="s">
        <v>245</v>
      </c>
      <c r="B17" s="11" t="s">
        <v>246</v>
      </c>
      <c r="C17" s="30">
        <f>IF(COUNTIFS(Backlog!$B$5:$B$200,$A17,Backlog!$H$5:$H$200,"&gt;=0")=0,"",_xlfn.MINIFS(Backlog!$H$5:$H$200,Backlog!$B$5:$B$200,$A17))</f>
        <v>4</v>
      </c>
      <c r="D17" s="30">
        <f>IF(COUNTIFS(Backlog!$B$5:$B$200,$A17,Backlog!$H$5:$H$200,"&gt;=0")=0,"",_xlfn.MAXIFS(Backlog!$H$5:$H$200,Backlog!$B$5:$B$200,$A17))</f>
        <v>8</v>
      </c>
      <c r="E17" s="22">
        <f>SUMIFS(Backlog!$G$5:$G$200,Backlog!$B$5:$B$200,$A17,Backlog!$H$5:$H$200,"&gt;=0")</f>
        <v>21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x14ac:dyDescent="0.25">
      <c r="A18" s="11" t="s">
        <v>328</v>
      </c>
      <c r="B18" s="11" t="s">
        <v>329</v>
      </c>
      <c r="C18" s="30">
        <f>IF(COUNTIFS(Backlog!$B$5:$B$200,$A18,Backlog!$H$5:$H$200,"&gt;=0")=0,"",_xlfn.MINIFS(Backlog!$H$5:$H$200,Backlog!$B$5:$B$200,$A18))</f>
        <v>9</v>
      </c>
      <c r="D18" s="30">
        <f>IF(COUNTIFS(Backlog!$B$5:$B$200,$A18,Backlog!$H$5:$H$200,"&gt;=0")=0,"",_xlfn.MAXIFS(Backlog!$H$5:$H$200,Backlog!$B$5:$B$200,$A18))</f>
        <v>9</v>
      </c>
      <c r="E18" s="22">
        <f>SUMIFS(Backlog!$G$5:$G$200,Backlog!$B$5:$B$200,$A18,Backlog!$H$5:$H$200,"&gt;=0")</f>
        <v>34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x14ac:dyDescent="0.25">
      <c r="A19" s="11" t="s">
        <v>348</v>
      </c>
      <c r="B19" s="11" t="s">
        <v>349</v>
      </c>
      <c r="C19" s="30">
        <f>IF(COUNTIFS(Backlog!$B$5:$B$200,$A19,Backlog!$H$5:$H$200,"&gt;=0")=0,"",_xlfn.MINIFS(Backlog!$H$5:$H$200,Backlog!$B$5:$B$200,$A19))</f>
        <v>10</v>
      </c>
      <c r="D19" s="30">
        <f>IF(COUNTIFS(Backlog!$B$5:$B$200,$A19,Backlog!$H$5:$H$200,"&gt;=0")=0,"",_xlfn.MAXIFS(Backlog!$H$5:$H$200,Backlog!$B$5:$B$200,$A19))</f>
        <v>10</v>
      </c>
      <c r="E19" s="22">
        <f>SUMIFS(Backlog!$G$5:$G$200,Backlog!$B$5:$B$200,$A19,Backlog!$H$5:$H$200,"&gt;=0")</f>
        <v>33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x14ac:dyDescent="0.25">
      <c r="A20" s="11" t="s">
        <v>171</v>
      </c>
      <c r="B20" s="11" t="s">
        <v>172</v>
      </c>
      <c r="C20" s="30">
        <f>IF(COUNTIFS(Backlog!$B$5:$B$200,$A20,Backlog!$H$5:$H$200,"&gt;=0")=0,"",_xlfn.MINIFS(Backlog!$H$5:$H$200,Backlog!$B$5:$B$200,$A20))</f>
        <v>1</v>
      </c>
      <c r="D20" s="30">
        <f>IF(COUNTIFS(Backlog!$B$5:$B$200,$A20,Backlog!$H$5:$H$200,"&gt;=0")=0,"",_xlfn.MAXIFS(Backlog!$H$5:$H$200,Backlog!$B$5:$B$200,$A20))</f>
        <v>11</v>
      </c>
      <c r="E20" s="22">
        <f>SUMIFS(Backlog!$G$5:$G$200,Backlog!$B$5:$B$200,$A20,Backlog!$H$5:$H$200,"&gt;=0")</f>
        <v>61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  <row r="21" spans="1:18" x14ac:dyDescent="0.25">
      <c r="A21" s="11" t="s">
        <v>393</v>
      </c>
      <c r="B21" s="11" t="s">
        <v>394</v>
      </c>
      <c r="C21" s="30">
        <f>IF(COUNTIFS(Backlog!$B$5:$B$200,$A21,Backlog!$H$5:$H$200,"&gt;=0")=0,"",_xlfn.MINIFS(Backlog!$H$5:$H$200,Backlog!$B$5:$B$200,$A21))</f>
        <v>12</v>
      </c>
      <c r="D21" s="30">
        <f>IF(COUNTIFS(Backlog!$B$5:$B$200,$A21,Backlog!$H$5:$H$200,"&gt;=0")=0,"",_xlfn.MAXIFS(Backlog!$H$5:$H$200,Backlog!$B$5:$B$200,$A21))</f>
        <v>12</v>
      </c>
      <c r="E21" s="22">
        <f>SUMIFS(Backlog!$G$5:$G$200,Backlog!$B$5:$B$200,$A21,Backlog!$H$5:$H$200,"&gt;=0")</f>
        <v>22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3" spans="1:18" x14ac:dyDescent="0.25">
      <c r="A23" s="38" t="s">
        <v>445</v>
      </c>
      <c r="B23" s="36"/>
      <c r="C23" s="36"/>
      <c r="D23" s="36"/>
      <c r="E23" s="36"/>
      <c r="F23" s="31">
        <f>SUMIFS(Backlog!$G$5:$G$200,Backlog!$H$5:$H$200,F$4)</f>
        <v>18</v>
      </c>
      <c r="G23" s="31">
        <f>SUMIFS(Backlog!$G$5:$G$200,Backlog!$H$5:$H$200,G$4)</f>
        <v>34</v>
      </c>
      <c r="H23" s="31">
        <f>SUMIFS(Backlog!$G$5:$G$200,Backlog!$H$5:$H$200,H$4)</f>
        <v>37</v>
      </c>
      <c r="I23" s="31">
        <f>SUMIFS(Backlog!$G$5:$G$200,Backlog!$H$5:$H$200,I$4)</f>
        <v>39</v>
      </c>
      <c r="J23" s="31">
        <f>SUMIFS(Backlog!$G$5:$G$200,Backlog!$H$5:$H$200,J$4)</f>
        <v>36</v>
      </c>
      <c r="K23" s="31">
        <f>SUMIFS(Backlog!$G$5:$G$200,Backlog!$H$5:$H$200,K$4)</f>
        <v>29</v>
      </c>
      <c r="L23" s="31">
        <f>SUMIFS(Backlog!$G$5:$G$200,Backlog!$H$5:$H$200,L$4)</f>
        <v>27</v>
      </c>
      <c r="M23" s="31">
        <f>SUMIFS(Backlog!$G$5:$G$200,Backlog!$H$5:$H$200,M$4)</f>
        <v>36</v>
      </c>
      <c r="N23" s="31">
        <f>SUMIFS(Backlog!$G$5:$G$200,Backlog!$H$5:$H$200,N$4)</f>
        <v>34</v>
      </c>
      <c r="O23" s="31">
        <f>SUMIFS(Backlog!$G$5:$G$200,Backlog!$H$5:$H$200,O$4)</f>
        <v>37</v>
      </c>
      <c r="P23" s="31">
        <f>SUMIFS(Backlog!$G$5:$G$200,Backlog!$H$5:$H$200,P$4)</f>
        <v>36</v>
      </c>
      <c r="Q23" s="31">
        <f>SUMIFS(Backlog!$G$5:$G$200,Backlog!$H$5:$H$200,Q$4)</f>
        <v>34</v>
      </c>
      <c r="R23" s="31">
        <f>SUMIFS(Backlog!$G$5:$G$200,Backlog!$H$5:$H$200,R$4)</f>
        <v>22</v>
      </c>
    </row>
    <row r="24" spans="1:18" x14ac:dyDescent="0.25">
      <c r="A24" s="38" t="s">
        <v>444</v>
      </c>
      <c r="B24" s="36"/>
      <c r="C24" s="36"/>
      <c r="D24" s="36"/>
      <c r="E24" s="36"/>
      <c r="F24" s="31">
        <f>INDEX(Sprints!$F$5:$F$17,MATCH(F$4,Sprints!$A$5:$A$17,0))</f>
        <v>20</v>
      </c>
      <c r="G24" s="31">
        <f>INDEX(Sprints!$F$5:$F$17,MATCH(G$4,Sprints!$A$5:$A$17,0))</f>
        <v>36</v>
      </c>
      <c r="H24" s="31">
        <f>INDEX(Sprints!$F$5:$F$17,MATCH(H$4,Sprints!$A$5:$A$17,0))</f>
        <v>40</v>
      </c>
      <c r="I24" s="31">
        <f>INDEX(Sprints!$F$5:$F$17,MATCH(I$4,Sprints!$A$5:$A$17,0))</f>
        <v>40</v>
      </c>
      <c r="J24" s="31">
        <f>INDEX(Sprints!$F$5:$F$17,MATCH(J$4,Sprints!$A$5:$A$17,0))</f>
        <v>40</v>
      </c>
      <c r="K24" s="31">
        <f>INDEX(Sprints!$F$5:$F$17,MATCH(K$4,Sprints!$A$5:$A$17,0))</f>
        <v>32</v>
      </c>
      <c r="L24" s="31">
        <f>INDEX(Sprints!$F$5:$F$17,MATCH(L$4,Sprints!$A$5:$A$17,0))</f>
        <v>28</v>
      </c>
      <c r="M24" s="31">
        <f>INDEX(Sprints!$F$5:$F$17,MATCH(M$4,Sprints!$A$5:$A$17,0))</f>
        <v>40</v>
      </c>
      <c r="N24" s="31">
        <f>INDEX(Sprints!$F$5:$F$17,MATCH(N$4,Sprints!$A$5:$A$17,0))</f>
        <v>40</v>
      </c>
      <c r="O24" s="31">
        <f>INDEX(Sprints!$F$5:$F$17,MATCH(O$4,Sprints!$A$5:$A$17,0))</f>
        <v>40</v>
      </c>
      <c r="P24" s="31">
        <f>INDEX(Sprints!$F$5:$F$17,MATCH(P$4,Sprints!$A$5:$A$17,0))</f>
        <v>40</v>
      </c>
      <c r="Q24" s="31">
        <f>INDEX(Sprints!$F$5:$F$17,MATCH(Q$4,Sprints!$A$5:$A$17,0))</f>
        <v>36</v>
      </c>
      <c r="R24" s="31">
        <f>INDEX(Sprints!$F$5:$F$17,MATCH(R$4,Sprints!$A$5:$A$17,0))</f>
        <v>28</v>
      </c>
    </row>
    <row r="25" spans="1:18" x14ac:dyDescent="0.25">
      <c r="A25" s="38" t="s">
        <v>446</v>
      </c>
      <c r="B25" s="36"/>
      <c r="C25" s="36"/>
      <c r="D25" s="36"/>
      <c r="E25" s="36"/>
      <c r="F25" s="32">
        <f t="shared" ref="F25:R25" si="0">IF(F24=0,"",F23/F24)</f>
        <v>0.9</v>
      </c>
      <c r="G25" s="32">
        <f t="shared" si="0"/>
        <v>0.94444444444444442</v>
      </c>
      <c r="H25" s="32">
        <f t="shared" si="0"/>
        <v>0.92500000000000004</v>
      </c>
      <c r="I25" s="32">
        <f t="shared" si="0"/>
        <v>0.97499999999999998</v>
      </c>
      <c r="J25" s="32">
        <f t="shared" si="0"/>
        <v>0.9</v>
      </c>
      <c r="K25" s="32">
        <f t="shared" si="0"/>
        <v>0.90625</v>
      </c>
      <c r="L25" s="32">
        <f t="shared" si="0"/>
        <v>0.9642857142857143</v>
      </c>
      <c r="M25" s="32">
        <f t="shared" si="0"/>
        <v>0.9</v>
      </c>
      <c r="N25" s="32">
        <f t="shared" si="0"/>
        <v>0.85</v>
      </c>
      <c r="O25" s="32">
        <f t="shared" si="0"/>
        <v>0.92500000000000004</v>
      </c>
      <c r="P25" s="32">
        <f t="shared" si="0"/>
        <v>0.9</v>
      </c>
      <c r="Q25" s="32">
        <f t="shared" si="0"/>
        <v>0.94444444444444442</v>
      </c>
      <c r="R25" s="32">
        <f t="shared" si="0"/>
        <v>0.7857142857142857</v>
      </c>
    </row>
    <row r="27" spans="1:18" x14ac:dyDescent="0.25">
      <c r="A27" s="3" t="s">
        <v>481</v>
      </c>
    </row>
    <row r="28" spans="1:18" x14ac:dyDescent="0.25">
      <c r="A28" s="10" t="s">
        <v>74</v>
      </c>
      <c r="B28" s="10" t="s">
        <v>447</v>
      </c>
      <c r="C28" s="10"/>
      <c r="D28" s="10"/>
      <c r="E28" s="10" t="s">
        <v>482</v>
      </c>
    </row>
    <row r="29" spans="1:18" x14ac:dyDescent="0.25">
      <c r="A29" s="33">
        <f>Sprints!A5</f>
        <v>0</v>
      </c>
      <c r="B29" s="37" t="str">
        <f>Sprints!I5</f>
        <v>H1 · Arquitectura aprobada</v>
      </c>
      <c r="C29" s="37"/>
      <c r="D29" s="37"/>
      <c r="E29" s="34">
        <f>Sprints!D5</f>
        <v>46311</v>
      </c>
    </row>
    <row r="30" spans="1:18" x14ac:dyDescent="0.25">
      <c r="A30" s="33">
        <f>Sprints!A6</f>
        <v>1</v>
      </c>
      <c r="B30" s="37" t="str">
        <f>Sprints!I6</f>
        <v>H2 · Walking skeleton en QA</v>
      </c>
      <c r="C30" s="37"/>
      <c r="D30" s="37"/>
      <c r="E30" s="34">
        <f>Sprints!D6</f>
        <v>46325</v>
      </c>
    </row>
    <row r="31" spans="1:18" x14ac:dyDescent="0.25">
      <c r="A31" s="33">
        <f>Sprints!A9</f>
        <v>4</v>
      </c>
      <c r="B31" s="37" t="str">
        <f>Sprints!I9</f>
        <v>H3 · Release interno R0 (catálogo y búsqueda) en Staging</v>
      </c>
      <c r="C31" s="37"/>
      <c r="D31" s="37"/>
      <c r="E31" s="34">
        <f>Sprints!D9</f>
        <v>46367</v>
      </c>
    </row>
    <row r="32" spans="1:18" x14ac:dyDescent="0.25">
      <c r="A32" s="33">
        <f>Sprints!A13</f>
        <v>8</v>
      </c>
      <c r="B32" s="37" t="str">
        <f>Sprints!I13</f>
        <v>H4 · Compra de punta a punta en QA</v>
      </c>
      <c r="C32" s="37"/>
      <c r="D32" s="37"/>
      <c r="E32" s="34">
        <f>Sprints!D13</f>
        <v>46423</v>
      </c>
    </row>
    <row r="33" spans="1:5" x14ac:dyDescent="0.25">
      <c r="A33" s="33">
        <f>Sprints!A15</f>
        <v>10</v>
      </c>
      <c r="B33" s="37" t="str">
        <f>Sprints!I15</f>
        <v>H5 · Feature complete (congelamiento funcional)</v>
      </c>
      <c r="C33" s="37"/>
      <c r="D33" s="37"/>
      <c r="E33" s="34">
        <f>Sprints!D15</f>
        <v>46451</v>
      </c>
    </row>
    <row r="34" spans="1:5" x14ac:dyDescent="0.25">
      <c r="A34" s="33">
        <f>Sprints!A17</f>
        <v>12</v>
      </c>
      <c r="B34" s="37" t="str">
        <f>Sprints!I17</f>
        <v>H6 · Go-live v1.0</v>
      </c>
      <c r="C34" s="37"/>
      <c r="D34" s="37"/>
      <c r="E34" s="34">
        <f>Sprints!D17</f>
        <v>46479</v>
      </c>
    </row>
  </sheetData>
  <mergeCells count="12">
    <mergeCell ref="B34:D34"/>
    <mergeCell ref="A5:E5"/>
    <mergeCell ref="A23:E23"/>
    <mergeCell ref="B30:D30"/>
    <mergeCell ref="B29:D29"/>
    <mergeCell ref="A6:E6"/>
    <mergeCell ref="B33:D33"/>
    <mergeCell ref="A24:E24"/>
    <mergeCell ref="B31:D31"/>
    <mergeCell ref="A7:E7"/>
    <mergeCell ref="A25:E25"/>
    <mergeCell ref="B32:D32"/>
  </mergeCells>
  <conditionalFormatting sqref="F8:R21">
    <cfRule type="expression" dxfId="8" priority="1">
      <formula>AND(F$4&gt;=$C8,F$4&lt;=$D8)</formula>
    </cfRule>
  </conditionalFormatting>
  <conditionalFormatting sqref="F25:R25">
    <cfRule type="cellIs" dxfId="7" priority="2" operator="greaterThan">
      <formula>1</formula>
    </cfRule>
    <cfRule type="cellIs" dxfId="6" priority="2" operator="between">
      <formula>0.9</formula>
      <formula>1</formula>
    </cfRule>
    <cfRule type="cellIs" dxfId="5" priority="3" operator="lessThan">
      <formula>0.9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44" customWidth="1"/>
    <col min="2" max="11" width="12" customWidth="1"/>
  </cols>
  <sheetData>
    <row r="1" spans="1:11" ht="20.25" x14ac:dyDescent="0.3">
      <c r="A1" s="1" t="s">
        <v>483</v>
      </c>
    </row>
    <row r="2" spans="1:11" x14ac:dyDescent="0.25">
      <c r="A2" s="2" t="s">
        <v>484</v>
      </c>
    </row>
    <row r="4" spans="1:11" ht="25.5" x14ac:dyDescent="0.25">
      <c r="A4" s="10" t="s">
        <v>485</v>
      </c>
      <c r="B4" s="10" t="s">
        <v>85</v>
      </c>
      <c r="C4" s="10" t="s">
        <v>486</v>
      </c>
      <c r="D4" s="10" t="s">
        <v>99</v>
      </c>
      <c r="E4" s="10" t="s">
        <v>487</v>
      </c>
      <c r="F4" s="10" t="s">
        <v>37</v>
      </c>
      <c r="G4" s="10" t="s">
        <v>95</v>
      </c>
      <c r="H4" s="10" t="s">
        <v>100</v>
      </c>
      <c r="I4" s="10" t="s">
        <v>109</v>
      </c>
      <c r="J4" s="10" t="s">
        <v>104</v>
      </c>
      <c r="K4" s="10" t="s">
        <v>119</v>
      </c>
    </row>
    <row r="5" spans="1:11" x14ac:dyDescent="0.25">
      <c r="A5" s="11" t="s">
        <v>488</v>
      </c>
      <c r="B5" s="31" t="s">
        <v>489</v>
      </c>
      <c r="C5" s="31" t="s">
        <v>490</v>
      </c>
      <c r="D5" s="31" t="s">
        <v>490</v>
      </c>
      <c r="E5" s="31" t="s">
        <v>491</v>
      </c>
      <c r="F5" s="31" t="s">
        <v>491</v>
      </c>
      <c r="G5" s="31" t="s">
        <v>490</v>
      </c>
      <c r="H5" s="31" t="s">
        <v>491</v>
      </c>
      <c r="I5" s="31" t="s">
        <v>491</v>
      </c>
      <c r="J5" s="31" t="s">
        <v>491</v>
      </c>
      <c r="K5" s="31" t="s">
        <v>491</v>
      </c>
    </row>
    <row r="6" spans="1:11" x14ac:dyDescent="0.25">
      <c r="A6" s="11" t="s">
        <v>492</v>
      </c>
      <c r="B6" s="31" t="s">
        <v>491</v>
      </c>
      <c r="C6" s="31" t="s">
        <v>491</v>
      </c>
      <c r="D6" s="31" t="s">
        <v>493</v>
      </c>
      <c r="E6" s="31" t="s">
        <v>490</v>
      </c>
      <c r="F6" s="31" t="s">
        <v>491</v>
      </c>
      <c r="G6" s="31" t="s">
        <v>491</v>
      </c>
      <c r="H6" s="31" t="s">
        <v>494</v>
      </c>
      <c r="I6" s="31" t="s">
        <v>490</v>
      </c>
      <c r="J6" s="31" t="s">
        <v>490</v>
      </c>
      <c r="K6" s="31" t="s">
        <v>490</v>
      </c>
    </row>
    <row r="7" spans="1:11" x14ac:dyDescent="0.25">
      <c r="A7" s="11" t="s">
        <v>495</v>
      </c>
      <c r="B7" s="31" t="s">
        <v>491</v>
      </c>
      <c r="C7" s="31" t="s">
        <v>491</v>
      </c>
      <c r="D7" s="31" t="s">
        <v>494</v>
      </c>
      <c r="E7" s="31" t="s">
        <v>493</v>
      </c>
      <c r="F7" s="31" t="s">
        <v>491</v>
      </c>
      <c r="G7" s="31" t="s">
        <v>491</v>
      </c>
      <c r="H7" s="31" t="s">
        <v>490</v>
      </c>
      <c r="I7" s="31" t="s">
        <v>490</v>
      </c>
      <c r="J7" s="31" t="s">
        <v>491</v>
      </c>
      <c r="K7" s="31" t="s">
        <v>491</v>
      </c>
    </row>
    <row r="8" spans="1:11" x14ac:dyDescent="0.25">
      <c r="A8" s="11" t="s">
        <v>496</v>
      </c>
      <c r="B8" s="31" t="s">
        <v>491</v>
      </c>
      <c r="C8" s="31" t="s">
        <v>491</v>
      </c>
      <c r="D8" s="31" t="s">
        <v>490</v>
      </c>
      <c r="E8" s="31" t="s">
        <v>490</v>
      </c>
      <c r="F8" s="31" t="s">
        <v>491</v>
      </c>
      <c r="G8" s="31" t="s">
        <v>491</v>
      </c>
      <c r="H8" s="31" t="s">
        <v>491</v>
      </c>
      <c r="I8" s="31" t="s">
        <v>489</v>
      </c>
      <c r="J8" s="31" t="s">
        <v>491</v>
      </c>
      <c r="K8" s="31" t="s">
        <v>490</v>
      </c>
    </row>
    <row r="9" spans="1:11" x14ac:dyDescent="0.25">
      <c r="A9" s="11" t="s">
        <v>497</v>
      </c>
      <c r="B9" s="31" t="s">
        <v>491</v>
      </c>
      <c r="C9" s="31" t="s">
        <v>491</v>
      </c>
      <c r="D9" s="31" t="s">
        <v>490</v>
      </c>
      <c r="E9" s="31" t="s">
        <v>490</v>
      </c>
      <c r="F9" s="31" t="s">
        <v>491</v>
      </c>
      <c r="G9" s="31" t="s">
        <v>491</v>
      </c>
      <c r="H9" s="31" t="s">
        <v>490</v>
      </c>
      <c r="I9" s="31" t="s">
        <v>490</v>
      </c>
      <c r="J9" s="31" t="s">
        <v>490</v>
      </c>
      <c r="K9" s="31" t="s">
        <v>489</v>
      </c>
    </row>
    <row r="10" spans="1:11" x14ac:dyDescent="0.25">
      <c r="A10" s="11" t="s">
        <v>498</v>
      </c>
      <c r="B10" s="31" t="s">
        <v>491</v>
      </c>
      <c r="C10" s="31" t="s">
        <v>491</v>
      </c>
      <c r="D10" s="31" t="s">
        <v>490</v>
      </c>
      <c r="E10" s="31" t="s">
        <v>490</v>
      </c>
      <c r="F10" s="31" t="s">
        <v>491</v>
      </c>
      <c r="G10" s="31" t="s">
        <v>491</v>
      </c>
      <c r="H10" s="31" t="s">
        <v>491</v>
      </c>
      <c r="I10" s="31" t="s">
        <v>491</v>
      </c>
      <c r="J10" s="31" t="s">
        <v>494</v>
      </c>
      <c r="K10" s="31" t="s">
        <v>493</v>
      </c>
    </row>
    <row r="11" spans="1:11" x14ac:dyDescent="0.25">
      <c r="A11" s="11" t="s">
        <v>499</v>
      </c>
      <c r="B11" s="31" t="s">
        <v>491</v>
      </c>
      <c r="C11" s="31" t="s">
        <v>491</v>
      </c>
      <c r="D11" s="31" t="s">
        <v>493</v>
      </c>
      <c r="E11" s="31" t="s">
        <v>490</v>
      </c>
      <c r="F11" s="31" t="s">
        <v>490</v>
      </c>
      <c r="G11" s="31" t="s">
        <v>491</v>
      </c>
      <c r="H11" s="31" t="s">
        <v>490</v>
      </c>
      <c r="I11" s="31" t="s">
        <v>491</v>
      </c>
      <c r="J11" s="31" t="s">
        <v>494</v>
      </c>
      <c r="K11" s="31" t="s">
        <v>491</v>
      </c>
    </row>
    <row r="12" spans="1:11" x14ac:dyDescent="0.25">
      <c r="A12" s="11" t="s">
        <v>500</v>
      </c>
      <c r="B12" s="31" t="s">
        <v>491</v>
      </c>
      <c r="C12" s="31" t="s">
        <v>491</v>
      </c>
      <c r="D12" s="31" t="s">
        <v>494</v>
      </c>
      <c r="E12" s="31" t="s">
        <v>493</v>
      </c>
      <c r="F12" s="31" t="s">
        <v>490</v>
      </c>
      <c r="G12" s="31" t="s">
        <v>491</v>
      </c>
      <c r="H12" s="31" t="s">
        <v>491</v>
      </c>
      <c r="I12" s="31" t="s">
        <v>491</v>
      </c>
      <c r="J12" s="31" t="s">
        <v>490</v>
      </c>
      <c r="K12" s="31" t="s">
        <v>490</v>
      </c>
    </row>
    <row r="13" spans="1:11" x14ac:dyDescent="0.25">
      <c r="A13" s="11" t="s">
        <v>501</v>
      </c>
      <c r="B13" s="31" t="s">
        <v>491</v>
      </c>
      <c r="C13" s="31" t="s">
        <v>491</v>
      </c>
      <c r="D13" s="31" t="s">
        <v>494</v>
      </c>
      <c r="E13" s="31" t="s">
        <v>493</v>
      </c>
      <c r="F13" s="31" t="s">
        <v>490</v>
      </c>
      <c r="G13" s="31" t="s">
        <v>490</v>
      </c>
      <c r="H13" s="31" t="s">
        <v>491</v>
      </c>
      <c r="I13" s="31" t="s">
        <v>491</v>
      </c>
      <c r="J13" s="31" t="s">
        <v>491</v>
      </c>
      <c r="K13" s="31" t="s">
        <v>491</v>
      </c>
    </row>
    <row r="14" spans="1:11" x14ac:dyDescent="0.25">
      <c r="A14" s="11" t="s">
        <v>502</v>
      </c>
      <c r="B14" s="31" t="s">
        <v>491</v>
      </c>
      <c r="C14" s="31" t="s">
        <v>491</v>
      </c>
      <c r="D14" s="31" t="s">
        <v>494</v>
      </c>
      <c r="E14" s="31" t="s">
        <v>493</v>
      </c>
      <c r="F14" s="31" t="s">
        <v>491</v>
      </c>
      <c r="G14" s="31" t="s">
        <v>491</v>
      </c>
      <c r="H14" s="31" t="s">
        <v>491</v>
      </c>
      <c r="I14" s="31" t="s">
        <v>491</v>
      </c>
      <c r="J14" s="31" t="s">
        <v>491</v>
      </c>
      <c r="K14" s="31" t="s">
        <v>491</v>
      </c>
    </row>
    <row r="15" spans="1:11" x14ac:dyDescent="0.25">
      <c r="A15" s="11" t="s">
        <v>503</v>
      </c>
      <c r="B15" s="31" t="s">
        <v>494</v>
      </c>
      <c r="C15" s="31" t="s">
        <v>491</v>
      </c>
      <c r="D15" s="31" t="s">
        <v>490</v>
      </c>
      <c r="E15" s="31" t="s">
        <v>490</v>
      </c>
      <c r="F15" s="31" t="s">
        <v>490</v>
      </c>
      <c r="G15" s="31" t="s">
        <v>493</v>
      </c>
      <c r="H15" s="31" t="s">
        <v>491</v>
      </c>
      <c r="I15" s="31" t="s">
        <v>491</v>
      </c>
      <c r="J15" s="31" t="s">
        <v>491</v>
      </c>
      <c r="K15" s="31" t="s">
        <v>491</v>
      </c>
    </row>
    <row r="16" spans="1:11" x14ac:dyDescent="0.25">
      <c r="A16" s="11" t="s">
        <v>504</v>
      </c>
      <c r="B16" s="31" t="s">
        <v>490</v>
      </c>
      <c r="C16" s="31" t="s">
        <v>491</v>
      </c>
      <c r="D16" s="31" t="s">
        <v>490</v>
      </c>
      <c r="E16" s="31" t="s">
        <v>490</v>
      </c>
      <c r="F16" s="31" t="s">
        <v>489</v>
      </c>
      <c r="G16" s="31" t="s">
        <v>491</v>
      </c>
      <c r="H16" s="31" t="s">
        <v>491</v>
      </c>
      <c r="I16" s="31" t="s">
        <v>491</v>
      </c>
      <c r="J16" s="31" t="s">
        <v>491</v>
      </c>
      <c r="K16" s="31" t="s">
        <v>491</v>
      </c>
    </row>
    <row r="17" spans="1:11" x14ac:dyDescent="0.25">
      <c r="A17" s="11" t="s">
        <v>505</v>
      </c>
      <c r="B17" s="31" t="s">
        <v>491</v>
      </c>
      <c r="C17" s="31" t="s">
        <v>491</v>
      </c>
      <c r="D17" s="31" t="s">
        <v>494</v>
      </c>
      <c r="E17" s="31" t="s">
        <v>490</v>
      </c>
      <c r="F17" s="31" t="s">
        <v>493</v>
      </c>
      <c r="G17" s="31" t="s">
        <v>491</v>
      </c>
      <c r="H17" s="31" t="s">
        <v>490</v>
      </c>
      <c r="I17" s="31" t="s">
        <v>490</v>
      </c>
      <c r="J17" s="31" t="s">
        <v>491</v>
      </c>
      <c r="K17" s="31" t="s">
        <v>490</v>
      </c>
    </row>
    <row r="18" spans="1:11" x14ac:dyDescent="0.25">
      <c r="A18" s="11" t="s">
        <v>506</v>
      </c>
      <c r="B18" s="31" t="s">
        <v>491</v>
      </c>
      <c r="C18" s="31" t="s">
        <v>491</v>
      </c>
      <c r="D18" s="31" t="s">
        <v>490</v>
      </c>
      <c r="E18" s="31" t="s">
        <v>493</v>
      </c>
      <c r="F18" s="31" t="s">
        <v>490</v>
      </c>
      <c r="G18" s="31" t="s">
        <v>491</v>
      </c>
      <c r="H18" s="31" t="s">
        <v>491</v>
      </c>
      <c r="I18" s="31" t="s">
        <v>491</v>
      </c>
      <c r="J18" s="31" t="s">
        <v>494</v>
      </c>
      <c r="K18" s="31" t="s">
        <v>490</v>
      </c>
    </row>
    <row r="19" spans="1:11" x14ac:dyDescent="0.25">
      <c r="A19" s="11" t="s">
        <v>507</v>
      </c>
      <c r="B19" s="31" t="s">
        <v>494</v>
      </c>
      <c r="C19" s="31" t="s">
        <v>490</v>
      </c>
      <c r="D19" s="31" t="s">
        <v>490</v>
      </c>
      <c r="E19" s="31" t="s">
        <v>490</v>
      </c>
      <c r="F19" s="31" t="s">
        <v>493</v>
      </c>
      <c r="G19" s="31" t="s">
        <v>490</v>
      </c>
      <c r="H19" s="31" t="s">
        <v>491</v>
      </c>
      <c r="I19" s="31" t="s">
        <v>491</v>
      </c>
      <c r="J19" s="31" t="s">
        <v>491</v>
      </c>
      <c r="K19" s="31" t="s">
        <v>491</v>
      </c>
    </row>
    <row r="20" spans="1:11" x14ac:dyDescent="0.25">
      <c r="A20" s="11" t="s">
        <v>508</v>
      </c>
      <c r="B20" s="31" t="s">
        <v>490</v>
      </c>
      <c r="C20" s="31" t="s">
        <v>490</v>
      </c>
      <c r="D20" s="31" t="s">
        <v>494</v>
      </c>
      <c r="E20" s="31" t="s">
        <v>490</v>
      </c>
      <c r="F20" s="31" t="s">
        <v>490</v>
      </c>
      <c r="G20" s="31" t="s">
        <v>491</v>
      </c>
      <c r="H20" s="31" t="s">
        <v>491</v>
      </c>
      <c r="I20" s="31" t="s">
        <v>490</v>
      </c>
      <c r="J20" s="31" t="s">
        <v>490</v>
      </c>
      <c r="K20" s="31" t="s">
        <v>493</v>
      </c>
    </row>
    <row r="21" spans="1:11" x14ac:dyDescent="0.25">
      <c r="A21" s="11" t="s">
        <v>509</v>
      </c>
      <c r="B21" s="31" t="s">
        <v>490</v>
      </c>
      <c r="C21" s="31" t="s">
        <v>489</v>
      </c>
      <c r="D21" s="31" t="s">
        <v>490</v>
      </c>
      <c r="E21" s="31" t="s">
        <v>490</v>
      </c>
      <c r="F21" s="31" t="s">
        <v>490</v>
      </c>
      <c r="G21" s="31" t="s">
        <v>490</v>
      </c>
      <c r="H21" s="31" t="s">
        <v>491</v>
      </c>
      <c r="I21" s="31" t="s">
        <v>491</v>
      </c>
      <c r="J21" s="31" t="s">
        <v>491</v>
      </c>
      <c r="K21" s="31" t="s">
        <v>491</v>
      </c>
    </row>
    <row r="22" spans="1:11" x14ac:dyDescent="0.25">
      <c r="A22" s="11" t="s">
        <v>510</v>
      </c>
      <c r="B22" s="31" t="s">
        <v>489</v>
      </c>
      <c r="C22" s="31" t="s">
        <v>491</v>
      </c>
      <c r="D22" s="31" t="s">
        <v>490</v>
      </c>
      <c r="E22" s="31" t="s">
        <v>490</v>
      </c>
      <c r="F22" s="31" t="s">
        <v>490</v>
      </c>
      <c r="G22" s="31" t="s">
        <v>490</v>
      </c>
      <c r="H22" s="31" t="s">
        <v>491</v>
      </c>
      <c r="I22" s="31" t="s">
        <v>491</v>
      </c>
      <c r="J22" s="31" t="s">
        <v>491</v>
      </c>
      <c r="K22" s="31" t="s">
        <v>491</v>
      </c>
    </row>
    <row r="23" spans="1:11" x14ac:dyDescent="0.25">
      <c r="A23" s="11" t="s">
        <v>511</v>
      </c>
      <c r="B23" s="31" t="s">
        <v>491</v>
      </c>
      <c r="C23" s="31" t="s">
        <v>491</v>
      </c>
      <c r="D23" s="31" t="s">
        <v>494</v>
      </c>
      <c r="E23" s="31" t="s">
        <v>493</v>
      </c>
      <c r="F23" s="31" t="s">
        <v>490</v>
      </c>
      <c r="G23" s="31" t="s">
        <v>491</v>
      </c>
      <c r="H23" s="31" t="s">
        <v>490</v>
      </c>
      <c r="I23" s="31" t="s">
        <v>490</v>
      </c>
      <c r="J23" s="31" t="s">
        <v>490</v>
      </c>
      <c r="K23" s="31" t="s">
        <v>490</v>
      </c>
    </row>
    <row r="24" spans="1:11" x14ac:dyDescent="0.25">
      <c r="A24" s="11" t="s">
        <v>512</v>
      </c>
      <c r="B24" s="31" t="s">
        <v>491</v>
      </c>
      <c r="C24" s="31" t="s">
        <v>490</v>
      </c>
      <c r="D24" s="31" t="s">
        <v>494</v>
      </c>
      <c r="E24" s="31" t="s">
        <v>493</v>
      </c>
      <c r="F24" s="31" t="s">
        <v>490</v>
      </c>
      <c r="G24" s="31" t="s">
        <v>491</v>
      </c>
      <c r="H24" s="31" t="s">
        <v>491</v>
      </c>
      <c r="I24" s="31" t="s">
        <v>490</v>
      </c>
      <c r="J24" s="31" t="s">
        <v>490</v>
      </c>
      <c r="K24" s="31" t="s">
        <v>493</v>
      </c>
    </row>
  </sheetData>
  <conditionalFormatting sqref="B5:K24">
    <cfRule type="expression" dxfId="4" priority="1" stopIfTrue="1">
      <formula>ISNUMBER(SEARCH("A",B5))</formula>
    </cfRule>
    <cfRule type="expression" dxfId="3" priority="2">
      <formula>B5="R"</formula>
    </cfRule>
  </conditionalFormatting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" customWidth="1"/>
    <col min="2" max="2" width="56" customWidth="1"/>
    <col min="3" max="3" width="11" customWidth="1"/>
    <col min="4" max="4" width="20" customWidth="1"/>
    <col min="5" max="5" width="24" customWidth="1"/>
    <col min="6" max="6" width="28" customWidth="1"/>
  </cols>
  <sheetData>
    <row r="1" spans="1:6" ht="20.25" x14ac:dyDescent="0.3">
      <c r="A1" s="1" t="s">
        <v>513</v>
      </c>
    </row>
    <row r="2" spans="1:6" x14ac:dyDescent="0.25">
      <c r="A2" s="2" t="s">
        <v>514</v>
      </c>
    </row>
    <row r="4" spans="1:6" x14ac:dyDescent="0.25">
      <c r="A4" s="10" t="s">
        <v>515</v>
      </c>
      <c r="B4" s="10" t="s">
        <v>83</v>
      </c>
      <c r="C4" s="10" t="s">
        <v>71</v>
      </c>
      <c r="D4" s="10" t="s">
        <v>75</v>
      </c>
      <c r="E4" s="10" t="s">
        <v>516</v>
      </c>
      <c r="F4" s="10" t="s">
        <v>517</v>
      </c>
    </row>
    <row r="5" spans="1:6" x14ac:dyDescent="0.25">
      <c r="A5" s="11">
        <v>1</v>
      </c>
      <c r="B5" s="11" t="s">
        <v>82</v>
      </c>
      <c r="C5" s="11" t="s">
        <v>518</v>
      </c>
      <c r="D5" s="11" t="s">
        <v>85</v>
      </c>
      <c r="E5" s="11" t="s">
        <v>519</v>
      </c>
      <c r="F5" s="11" t="s">
        <v>520</v>
      </c>
    </row>
    <row r="6" spans="1:6" x14ac:dyDescent="0.25">
      <c r="A6" s="11">
        <v>2</v>
      </c>
      <c r="B6" s="11" t="s">
        <v>521</v>
      </c>
      <c r="C6" s="11" t="s">
        <v>518</v>
      </c>
      <c r="D6" s="11" t="s">
        <v>522</v>
      </c>
      <c r="E6" s="11" t="s">
        <v>519</v>
      </c>
      <c r="F6" s="11" t="s">
        <v>523</v>
      </c>
    </row>
    <row r="7" spans="1:6" x14ac:dyDescent="0.25">
      <c r="A7" s="11">
        <v>3</v>
      </c>
      <c r="B7" s="11" t="s">
        <v>524</v>
      </c>
      <c r="C7" s="11" t="s">
        <v>518</v>
      </c>
      <c r="D7" s="11" t="s">
        <v>85</v>
      </c>
      <c r="E7" s="11" t="s">
        <v>85</v>
      </c>
      <c r="F7" s="11" t="s">
        <v>525</v>
      </c>
    </row>
    <row r="8" spans="1:6" x14ac:dyDescent="0.25">
      <c r="A8" s="11">
        <v>4</v>
      </c>
      <c r="B8" s="11" t="s">
        <v>526</v>
      </c>
      <c r="C8" s="11" t="s">
        <v>518</v>
      </c>
      <c r="D8" s="11" t="s">
        <v>85</v>
      </c>
      <c r="E8" s="11" t="s">
        <v>527</v>
      </c>
      <c r="F8" s="11" t="s">
        <v>528</v>
      </c>
    </row>
    <row r="9" spans="1:6" x14ac:dyDescent="0.25">
      <c r="A9" s="11">
        <v>5</v>
      </c>
      <c r="B9" s="11" t="s">
        <v>529</v>
      </c>
      <c r="C9" s="11" t="s">
        <v>518</v>
      </c>
      <c r="D9" s="11" t="s">
        <v>530</v>
      </c>
      <c r="E9" s="11" t="s">
        <v>85</v>
      </c>
      <c r="F9" s="11" t="s">
        <v>531</v>
      </c>
    </row>
    <row r="10" spans="1:6" x14ac:dyDescent="0.25">
      <c r="A10" s="11">
        <v>6</v>
      </c>
      <c r="B10" s="11" t="s">
        <v>532</v>
      </c>
      <c r="C10" s="11" t="s">
        <v>533</v>
      </c>
      <c r="D10" s="11" t="s">
        <v>99</v>
      </c>
      <c r="E10" s="11" t="s">
        <v>100</v>
      </c>
      <c r="F10" s="11" t="s">
        <v>523</v>
      </c>
    </row>
    <row r="11" spans="1:6" x14ac:dyDescent="0.25">
      <c r="A11" s="11">
        <v>7</v>
      </c>
      <c r="B11" s="11" t="s">
        <v>534</v>
      </c>
      <c r="C11" s="11" t="s">
        <v>533</v>
      </c>
      <c r="D11" s="11" t="s">
        <v>535</v>
      </c>
      <c r="E11" s="11" t="s">
        <v>104</v>
      </c>
      <c r="F11" s="11" t="s">
        <v>536</v>
      </c>
    </row>
    <row r="12" spans="1:6" x14ac:dyDescent="0.25">
      <c r="A12" s="11">
        <v>8</v>
      </c>
      <c r="B12" s="11" t="s">
        <v>537</v>
      </c>
      <c r="C12" s="11" t="s">
        <v>533</v>
      </c>
      <c r="D12" s="11" t="s">
        <v>538</v>
      </c>
      <c r="E12" s="11" t="s">
        <v>109</v>
      </c>
      <c r="F12" s="11" t="s">
        <v>539</v>
      </c>
    </row>
    <row r="13" spans="1:6" x14ac:dyDescent="0.25">
      <c r="A13" s="11">
        <v>9</v>
      </c>
      <c r="B13" s="11" t="s">
        <v>540</v>
      </c>
      <c r="C13" s="11" t="s">
        <v>533</v>
      </c>
      <c r="D13" s="11" t="s">
        <v>541</v>
      </c>
      <c r="E13" s="11" t="s">
        <v>99</v>
      </c>
      <c r="F13" s="11" t="s">
        <v>542</v>
      </c>
    </row>
    <row r="14" spans="1:6" x14ac:dyDescent="0.25">
      <c r="A14" s="11">
        <v>10</v>
      </c>
      <c r="B14" s="11" t="s">
        <v>543</v>
      </c>
      <c r="C14" s="11" t="s">
        <v>533</v>
      </c>
      <c r="D14" s="11" t="s">
        <v>544</v>
      </c>
      <c r="E14" s="11" t="s">
        <v>545</v>
      </c>
      <c r="F14" s="11" t="s">
        <v>546</v>
      </c>
    </row>
    <row r="15" spans="1:6" x14ac:dyDescent="0.25">
      <c r="A15" s="11">
        <v>11</v>
      </c>
      <c r="B15" s="11" t="s">
        <v>547</v>
      </c>
      <c r="C15" s="11" t="s">
        <v>533</v>
      </c>
      <c r="D15" s="11" t="s">
        <v>37</v>
      </c>
      <c r="E15" s="11" t="s">
        <v>548</v>
      </c>
      <c r="F15" s="11" t="s">
        <v>549</v>
      </c>
    </row>
    <row r="16" spans="1:6" x14ac:dyDescent="0.25">
      <c r="A16" s="11">
        <v>12</v>
      </c>
      <c r="B16" s="11" t="s">
        <v>550</v>
      </c>
      <c r="C16" s="11" t="s">
        <v>533</v>
      </c>
      <c r="D16" s="11" t="s">
        <v>551</v>
      </c>
      <c r="E16" s="11" t="s">
        <v>99</v>
      </c>
      <c r="F16" s="11" t="s">
        <v>552</v>
      </c>
    </row>
    <row r="17" spans="1:6" x14ac:dyDescent="0.25">
      <c r="A17" s="11">
        <v>13</v>
      </c>
      <c r="B17" s="11" t="s">
        <v>553</v>
      </c>
      <c r="C17" s="11" t="s">
        <v>533</v>
      </c>
      <c r="D17" s="11" t="s">
        <v>104</v>
      </c>
      <c r="E17" s="11" t="s">
        <v>104</v>
      </c>
      <c r="F17" s="11" t="s">
        <v>552</v>
      </c>
    </row>
    <row r="18" spans="1:6" x14ac:dyDescent="0.25">
      <c r="A18" s="11">
        <v>14</v>
      </c>
      <c r="B18" s="11" t="s">
        <v>554</v>
      </c>
      <c r="C18" s="11" t="s">
        <v>533</v>
      </c>
      <c r="D18" s="11" t="s">
        <v>555</v>
      </c>
      <c r="E18" s="11" t="s">
        <v>119</v>
      </c>
      <c r="F18" s="11" t="s">
        <v>556</v>
      </c>
    </row>
    <row r="19" spans="1:6" x14ac:dyDescent="0.25">
      <c r="A19" s="11">
        <v>15</v>
      </c>
      <c r="B19" s="11" t="s">
        <v>557</v>
      </c>
      <c r="C19" s="11" t="s">
        <v>533</v>
      </c>
      <c r="D19" s="11" t="s">
        <v>558</v>
      </c>
      <c r="E19" s="11" t="s">
        <v>100</v>
      </c>
      <c r="F19" s="11" t="s">
        <v>552</v>
      </c>
    </row>
    <row r="20" spans="1:6" x14ac:dyDescent="0.25">
      <c r="A20" s="11">
        <v>16</v>
      </c>
      <c r="B20" s="11" t="s">
        <v>410</v>
      </c>
      <c r="C20" s="11" t="s">
        <v>518</v>
      </c>
      <c r="D20" s="11" t="s">
        <v>559</v>
      </c>
      <c r="E20" s="11" t="s">
        <v>85</v>
      </c>
      <c r="F20" s="11" t="s">
        <v>556</v>
      </c>
    </row>
    <row r="21" spans="1:6" x14ac:dyDescent="0.25">
      <c r="A21" s="11">
        <v>17</v>
      </c>
      <c r="B21" s="11" t="s">
        <v>560</v>
      </c>
      <c r="C21" s="11" t="s">
        <v>518</v>
      </c>
      <c r="D21" s="11" t="s">
        <v>561</v>
      </c>
      <c r="E21" s="11" t="s">
        <v>527</v>
      </c>
      <c r="F21" s="11" t="s">
        <v>562</v>
      </c>
    </row>
    <row r="22" spans="1:6" x14ac:dyDescent="0.25">
      <c r="A22" s="11">
        <v>18</v>
      </c>
      <c r="B22" s="11" t="s">
        <v>563</v>
      </c>
      <c r="C22" s="11" t="s">
        <v>533</v>
      </c>
      <c r="D22" s="11" t="s">
        <v>564</v>
      </c>
      <c r="E22" s="11" t="s">
        <v>565</v>
      </c>
      <c r="F22" s="11" t="s">
        <v>562</v>
      </c>
    </row>
    <row r="23" spans="1:6" x14ac:dyDescent="0.25">
      <c r="A23" s="11">
        <v>19</v>
      </c>
      <c r="B23" s="11" t="s">
        <v>566</v>
      </c>
      <c r="C23" s="11" t="s">
        <v>518</v>
      </c>
      <c r="D23" s="11" t="s">
        <v>567</v>
      </c>
      <c r="E23" s="11" t="s">
        <v>85</v>
      </c>
      <c r="F23" s="11" t="s">
        <v>568</v>
      </c>
    </row>
    <row r="24" spans="1:6" x14ac:dyDescent="0.25">
      <c r="A24" s="11">
        <v>20</v>
      </c>
      <c r="B24" s="11" t="s">
        <v>569</v>
      </c>
      <c r="C24" s="11" t="s">
        <v>533</v>
      </c>
      <c r="D24" s="11" t="s">
        <v>541</v>
      </c>
      <c r="E24" s="11" t="s">
        <v>99</v>
      </c>
      <c r="F24" s="11" t="s">
        <v>523</v>
      </c>
    </row>
  </sheetData>
  <autoFilter ref="A4:F24" xr:uid="{00000000-0009-0000-0000-000005000000}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5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7" customWidth="1"/>
    <col min="2" max="2" width="46" customWidth="1"/>
    <col min="3" max="3" width="12" customWidth="1"/>
    <col min="4" max="5" width="10" customWidth="1"/>
    <col min="6" max="6" width="9" customWidth="1"/>
    <col min="7" max="7" width="60" customWidth="1"/>
    <col min="8" max="8" width="16" customWidth="1"/>
    <col min="9" max="9" width="12" customWidth="1"/>
  </cols>
  <sheetData>
    <row r="1" spans="1:9" ht="20.25" x14ac:dyDescent="0.3">
      <c r="A1" s="1" t="s">
        <v>570</v>
      </c>
    </row>
    <row r="2" spans="1:9" x14ac:dyDescent="0.25">
      <c r="A2" s="2" t="s">
        <v>571</v>
      </c>
    </row>
    <row r="4" spans="1:9" ht="25.5" x14ac:dyDescent="0.25">
      <c r="A4" s="10" t="s">
        <v>67</v>
      </c>
      <c r="B4" s="10" t="s">
        <v>572</v>
      </c>
      <c r="C4" s="10" t="s">
        <v>573</v>
      </c>
      <c r="D4" s="10" t="s">
        <v>574</v>
      </c>
      <c r="E4" s="10" t="s">
        <v>575</v>
      </c>
      <c r="F4" s="10" t="s">
        <v>576</v>
      </c>
      <c r="G4" s="10" t="s">
        <v>577</v>
      </c>
      <c r="H4" s="10" t="s">
        <v>75</v>
      </c>
      <c r="I4" s="10" t="s">
        <v>578</v>
      </c>
    </row>
    <row r="5" spans="1:9" ht="25.5" x14ac:dyDescent="0.25">
      <c r="A5" s="11" t="s">
        <v>579</v>
      </c>
      <c r="B5" s="11" t="s">
        <v>580</v>
      </c>
      <c r="C5" s="17">
        <v>3</v>
      </c>
      <c r="D5" s="17">
        <v>3</v>
      </c>
      <c r="E5" s="22">
        <f t="shared" ref="E5:E15" si="0">C5*D5</f>
        <v>9</v>
      </c>
      <c r="F5" s="22" t="str">
        <f t="shared" ref="F5:F15" si="1">IF(E5&gt;=6,"Alto",IF(E5&gt;=3,"Medio","Bajo"))</f>
        <v>Alto</v>
      </c>
      <c r="G5" s="11" t="s">
        <v>581</v>
      </c>
      <c r="H5" s="11" t="s">
        <v>423</v>
      </c>
      <c r="I5" s="11" t="s">
        <v>582</v>
      </c>
    </row>
    <row r="6" spans="1:9" ht="25.5" x14ac:dyDescent="0.25">
      <c r="A6" s="11" t="s">
        <v>583</v>
      </c>
      <c r="B6" s="11" t="s">
        <v>584</v>
      </c>
      <c r="C6" s="17">
        <v>2</v>
      </c>
      <c r="D6" s="17">
        <v>3</v>
      </c>
      <c r="E6" s="22">
        <f t="shared" si="0"/>
        <v>6</v>
      </c>
      <c r="F6" s="22" t="str">
        <f t="shared" si="1"/>
        <v>Alto</v>
      </c>
      <c r="G6" s="11" t="s">
        <v>585</v>
      </c>
      <c r="H6" s="11" t="s">
        <v>586</v>
      </c>
      <c r="I6" s="11" t="s">
        <v>587</v>
      </c>
    </row>
    <row r="7" spans="1:9" ht="25.5" x14ac:dyDescent="0.25">
      <c r="A7" s="11" t="s">
        <v>588</v>
      </c>
      <c r="B7" s="11" t="s">
        <v>589</v>
      </c>
      <c r="C7" s="17">
        <v>2</v>
      </c>
      <c r="D7" s="17">
        <v>3</v>
      </c>
      <c r="E7" s="22">
        <f t="shared" si="0"/>
        <v>6</v>
      </c>
      <c r="F7" s="22" t="str">
        <f t="shared" si="1"/>
        <v>Alto</v>
      </c>
      <c r="G7" s="11" t="s">
        <v>590</v>
      </c>
      <c r="H7" s="11" t="s">
        <v>591</v>
      </c>
      <c r="I7" s="11" t="s">
        <v>592</v>
      </c>
    </row>
    <row r="8" spans="1:9" ht="25.5" x14ac:dyDescent="0.25">
      <c r="A8" s="11" t="s">
        <v>593</v>
      </c>
      <c r="B8" s="11" t="s">
        <v>594</v>
      </c>
      <c r="C8" s="17">
        <v>3</v>
      </c>
      <c r="D8" s="17">
        <v>2</v>
      </c>
      <c r="E8" s="22">
        <f t="shared" si="0"/>
        <v>6</v>
      </c>
      <c r="F8" s="22" t="str">
        <f t="shared" si="1"/>
        <v>Alto</v>
      </c>
      <c r="G8" s="11" t="s">
        <v>595</v>
      </c>
      <c r="H8" s="11" t="s">
        <v>596</v>
      </c>
      <c r="I8" s="11" t="s">
        <v>582</v>
      </c>
    </row>
    <row r="9" spans="1:9" ht="25.5" x14ac:dyDescent="0.25">
      <c r="A9" s="11" t="s">
        <v>597</v>
      </c>
      <c r="B9" s="11" t="s">
        <v>598</v>
      </c>
      <c r="C9" s="17">
        <v>3</v>
      </c>
      <c r="D9" s="17">
        <v>2</v>
      </c>
      <c r="E9" s="22">
        <f t="shared" si="0"/>
        <v>6</v>
      </c>
      <c r="F9" s="22" t="str">
        <f t="shared" si="1"/>
        <v>Alto</v>
      </c>
      <c r="G9" s="11" t="s">
        <v>599</v>
      </c>
      <c r="H9" s="11" t="s">
        <v>486</v>
      </c>
      <c r="I9" s="11" t="s">
        <v>600</v>
      </c>
    </row>
    <row r="10" spans="1:9" ht="25.5" x14ac:dyDescent="0.25">
      <c r="A10" s="11" t="s">
        <v>601</v>
      </c>
      <c r="B10" s="11" t="s">
        <v>602</v>
      </c>
      <c r="C10" s="17">
        <v>2</v>
      </c>
      <c r="D10" s="17">
        <v>2</v>
      </c>
      <c r="E10" s="22">
        <f t="shared" si="0"/>
        <v>4</v>
      </c>
      <c r="F10" s="22" t="str">
        <f t="shared" si="1"/>
        <v>Medio</v>
      </c>
      <c r="G10" s="11" t="s">
        <v>603</v>
      </c>
      <c r="H10" s="11" t="s">
        <v>99</v>
      </c>
      <c r="I10" s="11" t="s">
        <v>604</v>
      </c>
    </row>
    <row r="11" spans="1:9" ht="25.5" x14ac:dyDescent="0.25">
      <c r="A11" s="11" t="s">
        <v>605</v>
      </c>
      <c r="B11" s="11" t="s">
        <v>606</v>
      </c>
      <c r="C11" s="17">
        <v>2</v>
      </c>
      <c r="D11" s="17">
        <v>3</v>
      </c>
      <c r="E11" s="22">
        <f t="shared" si="0"/>
        <v>6</v>
      </c>
      <c r="F11" s="22" t="str">
        <f t="shared" si="1"/>
        <v>Alto</v>
      </c>
      <c r="G11" s="11" t="s">
        <v>607</v>
      </c>
      <c r="H11" s="11" t="s">
        <v>608</v>
      </c>
      <c r="I11" s="11" t="s">
        <v>609</v>
      </c>
    </row>
    <row r="12" spans="1:9" ht="25.5" x14ac:dyDescent="0.25">
      <c r="A12" s="11" t="s">
        <v>610</v>
      </c>
      <c r="B12" s="11" t="s">
        <v>611</v>
      </c>
      <c r="C12" s="17">
        <v>2</v>
      </c>
      <c r="D12" s="17">
        <v>2</v>
      </c>
      <c r="E12" s="22">
        <f t="shared" si="0"/>
        <v>4</v>
      </c>
      <c r="F12" s="22" t="str">
        <f t="shared" si="1"/>
        <v>Medio</v>
      </c>
      <c r="G12" s="11" t="s">
        <v>612</v>
      </c>
      <c r="H12" s="11" t="s">
        <v>99</v>
      </c>
      <c r="I12" s="11" t="s">
        <v>613</v>
      </c>
    </row>
    <row r="13" spans="1:9" ht="25.5" x14ac:dyDescent="0.25">
      <c r="A13" s="11" t="s">
        <v>614</v>
      </c>
      <c r="B13" s="11" t="s">
        <v>615</v>
      </c>
      <c r="C13" s="17">
        <v>1</v>
      </c>
      <c r="D13" s="17">
        <v>3</v>
      </c>
      <c r="E13" s="22">
        <f t="shared" si="0"/>
        <v>3</v>
      </c>
      <c r="F13" s="22" t="str">
        <f t="shared" si="1"/>
        <v>Medio</v>
      </c>
      <c r="G13" s="11" t="s">
        <v>616</v>
      </c>
      <c r="H13" s="11" t="s">
        <v>617</v>
      </c>
      <c r="I13" s="11" t="s">
        <v>618</v>
      </c>
    </row>
    <row r="14" spans="1:9" ht="25.5" x14ac:dyDescent="0.25">
      <c r="A14" s="11" t="s">
        <v>619</v>
      </c>
      <c r="B14" s="11" t="s">
        <v>620</v>
      </c>
      <c r="C14" s="17">
        <v>2</v>
      </c>
      <c r="D14" s="17">
        <v>2</v>
      </c>
      <c r="E14" s="22">
        <f t="shared" si="0"/>
        <v>4</v>
      </c>
      <c r="F14" s="22" t="str">
        <f t="shared" si="1"/>
        <v>Medio</v>
      </c>
      <c r="G14" s="11" t="s">
        <v>621</v>
      </c>
      <c r="H14" s="11" t="s">
        <v>415</v>
      </c>
      <c r="I14" s="11" t="s">
        <v>582</v>
      </c>
    </row>
    <row r="15" spans="1:9" ht="25.5" x14ac:dyDescent="0.25">
      <c r="A15" s="11" t="s">
        <v>622</v>
      </c>
      <c r="B15" s="11" t="s">
        <v>623</v>
      </c>
      <c r="C15" s="17">
        <v>1</v>
      </c>
      <c r="D15" s="17">
        <v>2</v>
      </c>
      <c r="E15" s="22">
        <f t="shared" si="0"/>
        <v>2</v>
      </c>
      <c r="F15" s="22" t="str">
        <f t="shared" si="1"/>
        <v>Bajo</v>
      </c>
      <c r="G15" s="11" t="s">
        <v>624</v>
      </c>
      <c r="H15" s="11" t="s">
        <v>99</v>
      </c>
      <c r="I15" s="11" t="s">
        <v>625</v>
      </c>
    </row>
  </sheetData>
  <conditionalFormatting sqref="F5:F15">
    <cfRule type="cellIs" dxfId="2" priority="1" operator="equal">
      <formula>"Alto"</formula>
    </cfRule>
    <cfRule type="cellIs" dxfId="1" priority="2" operator="equal">
      <formula>"Medio"</formula>
    </cfRule>
    <cfRule type="cellIs" dxfId="0" priority="3" operator="equal">
      <formula>"Bajo"</formula>
    </cfRule>
  </conditionalFormatting>
  <dataValidations count="1">
    <dataValidation type="whole" sqref="C5:D15" xr:uid="{00000000-0002-0000-0600-000000000000}">
      <formula1>1</formula1>
      <formula2>3</formula2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Backlog</vt:lpstr>
      <vt:lpstr>Sprints</vt:lpstr>
      <vt:lpstr>Roadmap</vt:lpstr>
      <vt:lpstr>RACI</vt:lpstr>
      <vt:lpstr>Documentos</vt:lpstr>
      <vt:lpstr>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Murga</cp:lastModifiedBy>
  <dcterms:created xsi:type="dcterms:W3CDTF">2026-09-26T17:37:39Z</dcterms:created>
  <dcterms:modified xsi:type="dcterms:W3CDTF">2026-09-26T17:37:43Z</dcterms:modified>
</cp:coreProperties>
</file>